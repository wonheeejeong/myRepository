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현재_통합_문서"/>
  <xr:revisionPtr revIDLastSave="0" documentId="13_ncr:1_{2B5DE0F2-C5BA-4146-B0F2-00D9B8A69CA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파라미터" sheetId="2" r:id="rId1"/>
    <sheet name="강화" sheetId="1" r:id="rId2"/>
    <sheet name="수리" sheetId="3" r:id="rId3"/>
    <sheet name="아이템(공급)" sheetId="5" r:id="rId4"/>
    <sheet name="아이템(수요)" sheetId="4" r:id="rId5"/>
    <sheet name="아이템(가격)" sheetId="6" r:id="rId6"/>
    <sheet name="골드" sheetId="9" r:id="rId7"/>
  </sheets>
  <definedNames>
    <definedName name="solver_adj" localSheetId="1" hidden="1">강화!$M$11:$M$16</definedName>
    <definedName name="solver_adj" localSheetId="6" hidden="1">골드!$D$42:$D$43</definedName>
    <definedName name="solver_adj" localSheetId="2" hidden="1">수리!$A$32:$A$42</definedName>
    <definedName name="solver_adj" localSheetId="5" hidden="1">'아이템(가격)'!$O$17:$O$18</definedName>
    <definedName name="solver_adj" localSheetId="3" hidden="1">'아이템(공급)'!$D$32:$D$33</definedName>
    <definedName name="solver_cvg" localSheetId="1" hidden="1">0.0001</definedName>
    <definedName name="solver_cvg" localSheetId="6" hidden="1">0.0001</definedName>
    <definedName name="solver_cvg" localSheetId="2" hidden="1">0.0001</definedName>
    <definedName name="solver_cvg" localSheetId="5" hidden="1">0.0001</definedName>
    <definedName name="solver_drv" localSheetId="1" hidden="1">2</definedName>
    <definedName name="solver_drv" localSheetId="6" hidden="1">2</definedName>
    <definedName name="solver_drv" localSheetId="2" hidden="1">1</definedName>
    <definedName name="solver_drv" localSheetId="5" hidden="1">2</definedName>
    <definedName name="solver_eng" localSheetId="1" hidden="1">1</definedName>
    <definedName name="solver_eng" localSheetId="6" hidden="1">1</definedName>
    <definedName name="solver_eng" localSheetId="2" hidden="1">1</definedName>
    <definedName name="solver_eng" localSheetId="5" hidden="1">1</definedName>
    <definedName name="solver_eng" localSheetId="3" hidden="1">1</definedName>
    <definedName name="solver_est" localSheetId="1" hidden="1">1</definedName>
    <definedName name="solver_est" localSheetId="6" hidden="1">1</definedName>
    <definedName name="solver_est" localSheetId="2" hidden="1">1</definedName>
    <definedName name="solver_est" localSheetId="5" hidden="1">1</definedName>
    <definedName name="solver_itr" localSheetId="1" hidden="1">2147483647</definedName>
    <definedName name="solver_itr" localSheetId="6" hidden="1">2147483647</definedName>
    <definedName name="solver_itr" localSheetId="2" hidden="1">2147483647</definedName>
    <definedName name="solver_itr" localSheetId="5" hidden="1">2147483647</definedName>
    <definedName name="solver_mip" localSheetId="1" hidden="1">2147483647</definedName>
    <definedName name="solver_mip" localSheetId="6" hidden="1">2147483647</definedName>
    <definedName name="solver_mip" localSheetId="2" hidden="1">2147483647</definedName>
    <definedName name="solver_mip" localSheetId="5" hidden="1">2147483647</definedName>
    <definedName name="solver_mni" localSheetId="1" hidden="1">30</definedName>
    <definedName name="solver_mni" localSheetId="6" hidden="1">30</definedName>
    <definedName name="solver_mni" localSheetId="2" hidden="1">30</definedName>
    <definedName name="solver_mni" localSheetId="5" hidden="1">30</definedName>
    <definedName name="solver_mrt" localSheetId="1" hidden="1">0.075</definedName>
    <definedName name="solver_mrt" localSheetId="6" hidden="1">0.075</definedName>
    <definedName name="solver_mrt" localSheetId="2" hidden="1">0.075</definedName>
    <definedName name="solver_mrt" localSheetId="5" hidden="1">0.075</definedName>
    <definedName name="solver_msl" localSheetId="1" hidden="1">2</definedName>
    <definedName name="solver_msl" localSheetId="6" hidden="1">2</definedName>
    <definedName name="solver_msl" localSheetId="2" hidden="1">2</definedName>
    <definedName name="solver_msl" localSheetId="5" hidden="1">2</definedName>
    <definedName name="solver_neg" localSheetId="1" hidden="1">1</definedName>
    <definedName name="solver_neg" localSheetId="6" hidden="1">2</definedName>
    <definedName name="solver_neg" localSheetId="2" hidden="1">2</definedName>
    <definedName name="solver_neg" localSheetId="5" hidden="1">2</definedName>
    <definedName name="solver_nod" localSheetId="1" hidden="1">2147483647</definedName>
    <definedName name="solver_nod" localSheetId="6" hidden="1">2147483647</definedName>
    <definedName name="solver_nod" localSheetId="2" hidden="1">2147483647</definedName>
    <definedName name="solver_nod" localSheetId="5" hidden="1">2147483647</definedName>
    <definedName name="solver_num" localSheetId="1" hidden="1">0</definedName>
    <definedName name="solver_num" localSheetId="6" hidden="1">0</definedName>
    <definedName name="solver_num" localSheetId="2" hidden="1">0</definedName>
    <definedName name="solver_num" localSheetId="5" hidden="1">0</definedName>
    <definedName name="solver_nwt" localSheetId="1" hidden="1">1</definedName>
    <definedName name="solver_nwt" localSheetId="6" hidden="1">1</definedName>
    <definedName name="solver_nwt" localSheetId="2" hidden="1">1</definedName>
    <definedName name="solver_nwt" localSheetId="5" hidden="1">1</definedName>
    <definedName name="solver_opt" localSheetId="1" hidden="1">강화!$M$17</definedName>
    <definedName name="solver_opt" localSheetId="6" hidden="1">골드!$D$41</definedName>
    <definedName name="solver_opt" localSheetId="2" hidden="1">수리!$A$43</definedName>
    <definedName name="solver_opt" localSheetId="5" hidden="1">'아이템(가격)'!$O$16</definedName>
    <definedName name="solver_opt" localSheetId="3" hidden="1">'아이템(공급)'!$D$31</definedName>
    <definedName name="solver_pre" localSheetId="1" hidden="1">0.000001</definedName>
    <definedName name="solver_pre" localSheetId="6" hidden="1">0.000001</definedName>
    <definedName name="solver_pre" localSheetId="2" hidden="1">0.000001</definedName>
    <definedName name="solver_pre" localSheetId="5" hidden="1">0.000001</definedName>
    <definedName name="solver_rbv" localSheetId="1" hidden="1">2</definedName>
    <definedName name="solver_rbv" localSheetId="6" hidden="1">2</definedName>
    <definedName name="solver_rbv" localSheetId="2" hidden="1">1</definedName>
    <definedName name="solver_rbv" localSheetId="5" hidden="1">2</definedName>
    <definedName name="solver_rlx" localSheetId="1" hidden="1">2</definedName>
    <definedName name="solver_rlx" localSheetId="6" hidden="1">2</definedName>
    <definedName name="solver_rlx" localSheetId="2" hidden="1">2</definedName>
    <definedName name="solver_rlx" localSheetId="5" hidden="1">2</definedName>
    <definedName name="solver_rsd" localSheetId="1" hidden="1">0</definedName>
    <definedName name="solver_rsd" localSheetId="6" hidden="1">0</definedName>
    <definedName name="solver_rsd" localSheetId="2" hidden="1">0</definedName>
    <definedName name="solver_rsd" localSheetId="5" hidden="1">0</definedName>
    <definedName name="solver_scl" localSheetId="1" hidden="1">2</definedName>
    <definedName name="solver_scl" localSheetId="6" hidden="1">2</definedName>
    <definedName name="solver_scl" localSheetId="2" hidden="1">1</definedName>
    <definedName name="solver_scl" localSheetId="5" hidden="1">2</definedName>
    <definedName name="solver_sho" localSheetId="1" hidden="1">2</definedName>
    <definedName name="solver_sho" localSheetId="6" hidden="1">2</definedName>
    <definedName name="solver_sho" localSheetId="2" hidden="1">2</definedName>
    <definedName name="solver_sho" localSheetId="5" hidden="1">2</definedName>
    <definedName name="solver_ssz" localSheetId="1" hidden="1">100</definedName>
    <definedName name="solver_ssz" localSheetId="6" hidden="1">100</definedName>
    <definedName name="solver_ssz" localSheetId="2" hidden="1">100</definedName>
    <definedName name="solver_ssz" localSheetId="5" hidden="1">100</definedName>
    <definedName name="solver_tim" localSheetId="1" hidden="1">2147483647</definedName>
    <definedName name="solver_tim" localSheetId="6" hidden="1">2147483647</definedName>
    <definedName name="solver_tim" localSheetId="2" hidden="1">2147483647</definedName>
    <definedName name="solver_tim" localSheetId="5" hidden="1">2147483647</definedName>
    <definedName name="solver_tol" localSheetId="1" hidden="1">0.01</definedName>
    <definedName name="solver_tol" localSheetId="6" hidden="1">0.01</definedName>
    <definedName name="solver_tol" localSheetId="2" hidden="1">0.01</definedName>
    <definedName name="solver_tol" localSheetId="5" hidden="1">0.01</definedName>
    <definedName name="solver_typ" localSheetId="1" hidden="1">3</definedName>
    <definedName name="solver_typ" localSheetId="6" hidden="1">3</definedName>
    <definedName name="solver_typ" localSheetId="2" hidden="1">3</definedName>
    <definedName name="solver_typ" localSheetId="5" hidden="1">3</definedName>
    <definedName name="solver_typ" localSheetId="3" hidden="1">3</definedName>
    <definedName name="solver_val" localSheetId="1" hidden="1">1</definedName>
    <definedName name="solver_val" localSheetId="6" hidden="1">0</definedName>
    <definedName name="solver_val" localSheetId="2" hidden="1">1</definedName>
    <definedName name="solver_val" localSheetId="5" hidden="1">0</definedName>
    <definedName name="solver_val" localSheetId="3" hidden="1">0</definedName>
    <definedName name="solver_ver" localSheetId="1" hidden="1">3</definedName>
    <definedName name="solver_ver" localSheetId="6" hidden="1">3</definedName>
    <definedName name="solver_ver" localSheetId="2" hidden="1">3</definedName>
    <definedName name="solver_ver" localSheetId="5" hidden="1">3</definedName>
    <definedName name="검">#REF!</definedName>
    <definedName name="정원희천재">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6" i="9" l="1"/>
  <c r="D45" i="9"/>
  <c r="D44" i="9"/>
  <c r="D39" i="9"/>
  <c r="D37" i="9"/>
  <c r="D35" i="9"/>
  <c r="D34" i="9"/>
  <c r="D36" i="9" s="1"/>
  <c r="D33" i="9"/>
  <c r="D43" i="3"/>
  <c r="B43" i="3"/>
  <c r="D42" i="3"/>
  <c r="B42" i="3"/>
  <c r="D41" i="3"/>
  <c r="B41" i="3"/>
  <c r="D40" i="3"/>
  <c r="B40" i="3"/>
  <c r="D39" i="3"/>
  <c r="B39" i="3"/>
  <c r="D38" i="3"/>
  <c r="B38" i="3"/>
  <c r="D37" i="3"/>
  <c r="B37" i="3"/>
  <c r="D36" i="3"/>
  <c r="B36" i="3"/>
  <c r="D35" i="3"/>
  <c r="B35" i="3"/>
  <c r="D34" i="3"/>
  <c r="B34" i="3"/>
  <c r="D33" i="3"/>
  <c r="B33" i="3"/>
  <c r="D32" i="3"/>
  <c r="B32" i="3"/>
  <c r="A43" i="3"/>
  <c r="C44" i="6"/>
  <c r="N43" i="6"/>
  <c r="M43" i="6"/>
  <c r="L43" i="6"/>
  <c r="K43" i="6"/>
  <c r="J43" i="6"/>
  <c r="I43" i="6"/>
  <c r="H43" i="6"/>
  <c r="G43" i="6"/>
  <c r="F43" i="6"/>
  <c r="E43" i="6"/>
  <c r="D43" i="6"/>
  <c r="C43" i="6"/>
  <c r="D38" i="9" l="1"/>
  <c r="D40" i="9" s="1"/>
  <c r="D41" i="9" s="1"/>
  <c r="D4" i="5" l="1"/>
  <c r="O7" i="4" l="1"/>
  <c r="O6" i="4"/>
  <c r="O5" i="4"/>
  <c r="O4" i="4"/>
  <c r="N7" i="4"/>
  <c r="N6" i="4"/>
  <c r="N5" i="4"/>
  <c r="N4" i="4"/>
  <c r="M7" i="4"/>
  <c r="M6" i="4"/>
  <c r="M5" i="4"/>
  <c r="M4" i="4"/>
  <c r="L7" i="4"/>
  <c r="L6" i="4"/>
  <c r="L5" i="4"/>
  <c r="L4" i="4"/>
  <c r="K7" i="4"/>
  <c r="K6" i="4"/>
  <c r="K5" i="4"/>
  <c r="K4" i="4"/>
  <c r="J7" i="4"/>
  <c r="J6" i="4"/>
  <c r="J5" i="4"/>
  <c r="J4" i="4"/>
  <c r="I7" i="4"/>
  <c r="I6" i="4"/>
  <c r="I5" i="4"/>
  <c r="I4" i="4"/>
  <c r="H7" i="4"/>
  <c r="H6" i="4"/>
  <c r="H5" i="4"/>
  <c r="H4" i="4"/>
  <c r="G7" i="4"/>
  <c r="G6" i="4"/>
  <c r="G5" i="4"/>
  <c r="G4" i="4"/>
  <c r="F7" i="4"/>
  <c r="F6" i="4"/>
  <c r="F5" i="4"/>
  <c r="F4" i="4"/>
  <c r="E7" i="4"/>
  <c r="E6" i="4"/>
  <c r="E5" i="4"/>
  <c r="E4" i="4"/>
  <c r="D7" i="4"/>
  <c r="D6" i="4"/>
  <c r="D5" i="4"/>
  <c r="D4" i="4"/>
  <c r="O4" i="5"/>
  <c r="N4" i="5"/>
  <c r="M4" i="5"/>
  <c r="L4" i="5"/>
  <c r="K4" i="5"/>
  <c r="J4" i="5"/>
  <c r="I4" i="5"/>
  <c r="H4" i="5"/>
  <c r="G4" i="5"/>
  <c r="F4" i="5"/>
  <c r="E4" i="5"/>
  <c r="D10" i="5" l="1"/>
  <c r="J8" i="4" l="1"/>
  <c r="I8" i="4"/>
  <c r="H8" i="4"/>
  <c r="G8" i="4"/>
  <c r="E8" i="4"/>
  <c r="D8" i="4"/>
  <c r="R8" i="2" l="1"/>
  <c r="D15" i="9" l="1"/>
  <c r="D17" i="9" s="1"/>
  <c r="G30" i="4"/>
  <c r="F30" i="4"/>
  <c r="E30" i="4"/>
  <c r="D20" i="4"/>
  <c r="D31" i="4"/>
  <c r="M29" i="1" l="1"/>
  <c r="M30" i="1"/>
  <c r="M31" i="1"/>
  <c r="M32" i="1"/>
  <c r="L29" i="1"/>
  <c r="L30" i="1"/>
  <c r="L31" i="1"/>
  <c r="L32" i="1"/>
  <c r="K29" i="1"/>
  <c r="K30" i="1"/>
  <c r="K31" i="1"/>
  <c r="K32" i="1"/>
  <c r="J29" i="1"/>
  <c r="J30" i="1"/>
  <c r="J31" i="1"/>
  <c r="J32" i="1"/>
  <c r="I29" i="1"/>
  <c r="I30" i="1"/>
  <c r="I31" i="1"/>
  <c r="I32" i="1"/>
  <c r="M28" i="1"/>
  <c r="L28" i="1"/>
  <c r="K28" i="1"/>
  <c r="J28" i="1"/>
  <c r="I28" i="1"/>
  <c r="H28" i="1"/>
  <c r="H29" i="1"/>
  <c r="H30" i="1"/>
  <c r="H31" i="1"/>
  <c r="H32" i="1"/>
  <c r="G28" i="1"/>
  <c r="G29" i="1"/>
  <c r="G30" i="1"/>
  <c r="G31" i="1"/>
  <c r="G32" i="1"/>
  <c r="F29" i="1"/>
  <c r="F30" i="1"/>
  <c r="F31" i="1"/>
  <c r="F32" i="1"/>
  <c r="E29" i="1"/>
  <c r="E30" i="1"/>
  <c r="E31" i="1"/>
  <c r="E32" i="1"/>
  <c r="F28" i="1"/>
  <c r="E28" i="1"/>
  <c r="D28" i="1"/>
  <c r="D30" i="1"/>
  <c r="D29" i="1"/>
  <c r="D31" i="1"/>
  <c r="D32" i="1"/>
  <c r="C44" i="3" l="1"/>
  <c r="C43" i="3"/>
  <c r="C42" i="3"/>
  <c r="C41" i="3"/>
  <c r="C40" i="3"/>
  <c r="C39" i="3"/>
  <c r="C38" i="3"/>
  <c r="C37" i="3"/>
  <c r="C36" i="3"/>
  <c r="C35" i="3"/>
  <c r="C34" i="3"/>
  <c r="M105" i="1"/>
  <c r="L105" i="1"/>
  <c r="K105" i="1"/>
  <c r="J105" i="1"/>
  <c r="I105" i="1"/>
  <c r="H105" i="1"/>
  <c r="G105" i="1"/>
  <c r="F105" i="1"/>
  <c r="E105" i="1"/>
  <c r="D105" i="1"/>
  <c r="M104" i="1"/>
  <c r="L104" i="1"/>
  <c r="K104" i="1"/>
  <c r="J104" i="1"/>
  <c r="I104" i="1"/>
  <c r="H104" i="1"/>
  <c r="G104" i="1"/>
  <c r="F104" i="1"/>
  <c r="E104" i="1"/>
  <c r="D104" i="1"/>
  <c r="M103" i="1"/>
  <c r="L103" i="1"/>
  <c r="K103" i="1"/>
  <c r="J103" i="1"/>
  <c r="I103" i="1"/>
  <c r="H103" i="1"/>
  <c r="G103" i="1"/>
  <c r="F103" i="1"/>
  <c r="E103" i="1"/>
  <c r="D103" i="1"/>
  <c r="M102" i="1"/>
  <c r="L102" i="1"/>
  <c r="K102" i="1"/>
  <c r="J102" i="1"/>
  <c r="I102" i="1"/>
  <c r="H102" i="1"/>
  <c r="G102" i="1"/>
  <c r="F102" i="1"/>
  <c r="E102" i="1"/>
  <c r="D102" i="1"/>
  <c r="M101" i="1"/>
  <c r="L101" i="1"/>
  <c r="K101" i="1"/>
  <c r="J101" i="1"/>
  <c r="I101" i="1"/>
  <c r="H101" i="1"/>
  <c r="G101" i="1"/>
  <c r="F101" i="1"/>
  <c r="E101" i="1"/>
  <c r="D101" i="1"/>
  <c r="M100" i="1"/>
  <c r="L100" i="1"/>
  <c r="K100" i="1"/>
  <c r="J100" i="1"/>
  <c r="I100" i="1"/>
  <c r="H100" i="1"/>
  <c r="G100" i="1"/>
  <c r="F100" i="1"/>
  <c r="E100" i="1"/>
  <c r="D100" i="1"/>
  <c r="E40" i="1" l="1"/>
  <c r="F40" i="1"/>
  <c r="G40" i="1"/>
  <c r="H40" i="1"/>
  <c r="I40" i="1"/>
  <c r="J40" i="1"/>
  <c r="K40" i="1"/>
  <c r="L40" i="1"/>
  <c r="M40" i="1"/>
  <c r="D40" i="1"/>
  <c r="K10" i="5" l="1"/>
  <c r="G10" i="5"/>
  <c r="J10" i="5"/>
  <c r="F10" i="5"/>
  <c r="M10" i="5"/>
  <c r="I10" i="5"/>
  <c r="E10" i="5"/>
  <c r="L10" i="5"/>
  <c r="H10" i="5"/>
  <c r="D17" i="1"/>
  <c r="E19" i="6" l="1"/>
  <c r="E22" i="6" s="1"/>
  <c r="F19" i="6"/>
  <c r="F22" i="6" s="1"/>
  <c r="G19" i="6"/>
  <c r="G22" i="6" s="1"/>
  <c r="H19" i="6"/>
  <c r="H22" i="6" s="1"/>
  <c r="I19" i="6"/>
  <c r="I22" i="6" s="1"/>
  <c r="J19" i="6"/>
  <c r="J22" i="6" s="1"/>
  <c r="K19" i="6"/>
  <c r="K22" i="6" s="1"/>
  <c r="L19" i="6"/>
  <c r="L22" i="6" s="1"/>
  <c r="M19" i="6"/>
  <c r="M22" i="6" s="1"/>
  <c r="N19" i="6"/>
  <c r="N22" i="6" s="1"/>
  <c r="O19" i="6"/>
  <c r="O22" i="6" s="1"/>
  <c r="D19" i="6"/>
  <c r="D22" i="6" s="1"/>
  <c r="N10" i="5" l="1"/>
  <c r="N13" i="5" s="1"/>
  <c r="O10" i="5"/>
  <c r="O13" i="5" s="1"/>
  <c r="O27" i="4"/>
  <c r="O26" i="4"/>
  <c r="O25" i="4"/>
  <c r="O24" i="4"/>
  <c r="N27" i="4"/>
  <c r="N26" i="4"/>
  <c r="N25" i="4"/>
  <c r="N24" i="4"/>
  <c r="M27" i="4"/>
  <c r="M26" i="4"/>
  <c r="M25" i="4"/>
  <c r="M24" i="4"/>
  <c r="L27" i="4"/>
  <c r="L26" i="4"/>
  <c r="L25" i="4"/>
  <c r="L24" i="4"/>
  <c r="K27" i="4"/>
  <c r="K26" i="4"/>
  <c r="K25" i="4"/>
  <c r="K24" i="4"/>
  <c r="J27" i="4"/>
  <c r="J26" i="4"/>
  <c r="J25" i="4"/>
  <c r="J24" i="4"/>
  <c r="I27" i="4"/>
  <c r="I26" i="4"/>
  <c r="I25" i="4"/>
  <c r="I24" i="4"/>
  <c r="H27" i="4"/>
  <c r="H26" i="4"/>
  <c r="H25" i="4"/>
  <c r="H24" i="4"/>
  <c r="G27" i="4"/>
  <c r="G33" i="4" s="1"/>
  <c r="F26" i="4"/>
  <c r="F32" i="4" s="1"/>
  <c r="E25" i="4"/>
  <c r="E31" i="4" s="1"/>
  <c r="D24" i="4"/>
  <c r="D30" i="4" s="1"/>
  <c r="O14" i="4"/>
  <c r="O13" i="4"/>
  <c r="O12" i="4"/>
  <c r="O11" i="4"/>
  <c r="N14" i="4"/>
  <c r="N13" i="4"/>
  <c r="N12" i="4"/>
  <c r="N11" i="4"/>
  <c r="M14" i="4"/>
  <c r="M13" i="4"/>
  <c r="M12" i="4"/>
  <c r="M11" i="4"/>
  <c r="L14" i="4"/>
  <c r="L13" i="4"/>
  <c r="L12" i="4"/>
  <c r="L11" i="4"/>
  <c r="K14" i="4"/>
  <c r="K13" i="4"/>
  <c r="K12" i="4"/>
  <c r="K11" i="4"/>
  <c r="J14" i="4"/>
  <c r="J13" i="4"/>
  <c r="J12" i="4"/>
  <c r="J11" i="4"/>
  <c r="I14" i="4"/>
  <c r="I13" i="4"/>
  <c r="I12" i="4"/>
  <c r="I11" i="4"/>
  <c r="H14" i="4"/>
  <c r="H13" i="4"/>
  <c r="H12" i="4"/>
  <c r="H11" i="4"/>
  <c r="G14" i="4"/>
  <c r="F13" i="4"/>
  <c r="E12" i="4"/>
  <c r="D11" i="4"/>
  <c r="G18" i="4"/>
  <c r="G32" i="4"/>
  <c r="F31" i="4"/>
  <c r="F33" i="4"/>
  <c r="E19" i="4"/>
  <c r="E33" i="4"/>
  <c r="E17" i="4"/>
  <c r="D19" i="4"/>
  <c r="F8" i="4" l="1"/>
  <c r="F34" i="4"/>
  <c r="E20" i="4"/>
  <c r="F18" i="4"/>
  <c r="D33" i="4"/>
  <c r="G19" i="4"/>
  <c r="G17" i="4"/>
  <c r="F19" i="4"/>
  <c r="G31" i="4"/>
  <c r="G34" i="4" s="1"/>
  <c r="F20" i="4"/>
  <c r="E32" i="4"/>
  <c r="D32" i="4"/>
  <c r="D17" i="4"/>
  <c r="D18" i="4"/>
  <c r="G20" i="4"/>
  <c r="F17" i="4"/>
  <c r="E18" i="4"/>
  <c r="E21" i="4" l="1"/>
  <c r="C16" i="3"/>
  <c r="D34" i="4"/>
  <c r="F21" i="4"/>
  <c r="F37" i="4" s="1"/>
  <c r="F10" i="6" s="1"/>
  <c r="G21" i="4"/>
  <c r="G37" i="4" s="1"/>
  <c r="G10" i="6" s="1"/>
  <c r="D21" i="4"/>
  <c r="E34" i="4"/>
  <c r="D37" i="4" l="1"/>
  <c r="D10" i="6" s="1"/>
  <c r="E37" i="4"/>
  <c r="E10" i="6" s="1"/>
  <c r="G4" i="6"/>
  <c r="F4" i="6"/>
  <c r="M39" i="1"/>
  <c r="M38" i="1"/>
  <c r="M37" i="1"/>
  <c r="M36" i="1"/>
  <c r="L39" i="1"/>
  <c r="L38" i="1"/>
  <c r="L37" i="1"/>
  <c r="L36" i="1"/>
  <c r="K39" i="1"/>
  <c r="K38" i="1"/>
  <c r="K37" i="1"/>
  <c r="K36" i="1"/>
  <c r="J39" i="1"/>
  <c r="J38" i="1"/>
  <c r="J37" i="1"/>
  <c r="J36" i="1"/>
  <c r="I39" i="1"/>
  <c r="I38" i="1"/>
  <c r="I37" i="1"/>
  <c r="I36" i="1"/>
  <c r="H39" i="1"/>
  <c r="H38" i="1"/>
  <c r="H37" i="1"/>
  <c r="H36" i="1"/>
  <c r="G39" i="1"/>
  <c r="G38" i="1"/>
  <c r="G37" i="1"/>
  <c r="G36" i="1"/>
  <c r="F39" i="1"/>
  <c r="F38" i="1"/>
  <c r="F37" i="1"/>
  <c r="F36" i="1"/>
  <c r="E39" i="1"/>
  <c r="E38" i="1"/>
  <c r="E37" i="1"/>
  <c r="E36" i="1"/>
  <c r="D39" i="1"/>
  <c r="D38" i="1"/>
  <c r="D37" i="1"/>
  <c r="D36" i="1"/>
  <c r="E4" i="6" l="1"/>
  <c r="E14" i="6" s="1"/>
  <c r="F17" i="1"/>
  <c r="H17" i="1"/>
  <c r="J17" i="1"/>
  <c r="L17" i="1"/>
  <c r="E17" i="1"/>
  <c r="G17" i="1"/>
  <c r="I17" i="1"/>
  <c r="K17" i="1"/>
  <c r="M17" i="1"/>
  <c r="G14" i="6"/>
  <c r="F14" i="6"/>
  <c r="D4" i="6"/>
  <c r="Q8" i="2"/>
  <c r="I20" i="4" l="1"/>
  <c r="H20" i="4"/>
  <c r="J19" i="4"/>
  <c r="I19" i="4"/>
  <c r="H19" i="4"/>
  <c r="C7" i="1"/>
  <c r="D7" i="1" s="1"/>
  <c r="C6" i="1"/>
  <c r="D6" i="1" s="1"/>
  <c r="D9" i="3"/>
  <c r="E9" i="3" s="1"/>
  <c r="D13" i="3"/>
  <c r="E13" i="3" s="1"/>
  <c r="D8" i="3"/>
  <c r="E8" i="3" s="1"/>
  <c r="D6" i="3"/>
  <c r="E6" i="3" s="1"/>
  <c r="D7" i="3"/>
  <c r="E7" i="3" s="1"/>
  <c r="D12" i="3"/>
  <c r="E12" i="3" s="1"/>
  <c r="D10" i="3"/>
  <c r="E10" i="3" s="1"/>
  <c r="D11" i="3"/>
  <c r="E11" i="3" s="1"/>
  <c r="D5" i="3"/>
  <c r="D14" i="3"/>
  <c r="E14" i="3" s="1"/>
  <c r="D15" i="3"/>
  <c r="E15" i="3" s="1"/>
  <c r="C5" i="1"/>
  <c r="D5" i="1" s="1"/>
  <c r="C4" i="1"/>
  <c r="E4" i="1" s="1"/>
  <c r="D14" i="6"/>
  <c r="F5" i="1"/>
  <c r="O8" i="4" l="1"/>
  <c r="G7" i="1"/>
  <c r="F6" i="1"/>
  <c r="M8" i="4"/>
  <c r="K8" i="4"/>
  <c r="N8" i="4"/>
  <c r="L8" i="4"/>
  <c r="G5" i="1"/>
  <c r="J7" i="1"/>
  <c r="M4" i="1"/>
  <c r="E6" i="1"/>
  <c r="G6" i="1"/>
  <c r="L4" i="1"/>
  <c r="K4" i="1"/>
  <c r="J6" i="1"/>
  <c r="I6" i="1"/>
  <c r="M6" i="1"/>
  <c r="H6" i="1"/>
  <c r="K6" i="1"/>
  <c r="L6" i="1"/>
  <c r="I4" i="1"/>
  <c r="H4" i="1"/>
  <c r="F4" i="1"/>
  <c r="D4" i="1"/>
  <c r="J4" i="1"/>
  <c r="G4" i="1"/>
  <c r="L5" i="1"/>
  <c r="I33" i="4"/>
  <c r="N33" i="4"/>
  <c r="N20" i="4"/>
  <c r="J32" i="4"/>
  <c r="N32" i="4"/>
  <c r="N19" i="4"/>
  <c r="H18" i="4"/>
  <c r="H31" i="4"/>
  <c r="L31" i="4"/>
  <c r="L18" i="4"/>
  <c r="H30" i="4"/>
  <c r="H17" i="4"/>
  <c r="L30" i="4"/>
  <c r="L17" i="4"/>
  <c r="K5" i="1"/>
  <c r="M5" i="1"/>
  <c r="J5" i="1"/>
  <c r="I7" i="1"/>
  <c r="K33" i="4"/>
  <c r="K20" i="4"/>
  <c r="O33" i="4"/>
  <c r="O20" i="4"/>
  <c r="K32" i="4"/>
  <c r="K19" i="4"/>
  <c r="O32" i="4"/>
  <c r="O19" i="4"/>
  <c r="I31" i="4"/>
  <c r="I18" i="4"/>
  <c r="M31" i="4"/>
  <c r="M18" i="4"/>
  <c r="I17" i="4"/>
  <c r="I30" i="4"/>
  <c r="M17" i="4"/>
  <c r="M30" i="4"/>
  <c r="K7" i="1"/>
  <c r="H7" i="1"/>
  <c r="E5" i="1"/>
  <c r="I5" i="1"/>
  <c r="L20" i="4"/>
  <c r="L33" i="4"/>
  <c r="H32" i="4"/>
  <c r="L32" i="4"/>
  <c r="L19" i="4"/>
  <c r="H33" i="4"/>
  <c r="J18" i="4"/>
  <c r="J31" i="4"/>
  <c r="N31" i="4"/>
  <c r="N18" i="4"/>
  <c r="J30" i="4"/>
  <c r="J17" i="4"/>
  <c r="N30" i="4"/>
  <c r="N17" i="4"/>
  <c r="L7" i="1"/>
  <c r="H5" i="1"/>
  <c r="F7" i="1"/>
  <c r="M7" i="1"/>
  <c r="E7" i="1"/>
  <c r="E5" i="3"/>
  <c r="E16" i="3" s="1"/>
  <c r="D16" i="3"/>
  <c r="M33" i="4"/>
  <c r="M20" i="4"/>
  <c r="I32" i="4"/>
  <c r="M19" i="4"/>
  <c r="M32" i="4"/>
  <c r="J20" i="4"/>
  <c r="J33" i="4"/>
  <c r="K18" i="4"/>
  <c r="K31" i="4"/>
  <c r="O18" i="4"/>
  <c r="O31" i="4"/>
  <c r="K30" i="4"/>
  <c r="K17" i="4"/>
  <c r="O30" i="4"/>
  <c r="O17" i="4"/>
  <c r="D13" i="5" l="1"/>
  <c r="E13" i="5"/>
  <c r="K13" i="5"/>
  <c r="I13" i="5"/>
  <c r="M13" i="5"/>
  <c r="F13" i="5"/>
  <c r="H13" i="5"/>
  <c r="L13" i="5"/>
  <c r="G13" i="5"/>
  <c r="J13" i="5"/>
  <c r="D3" i="9"/>
  <c r="G8" i="1"/>
  <c r="G21" i="1" s="1"/>
  <c r="D8" i="1"/>
  <c r="D23" i="1" s="1"/>
  <c r="L8" i="1"/>
  <c r="L24" i="1" s="1"/>
  <c r="F8" i="1"/>
  <c r="F20" i="1" s="1"/>
  <c r="H8" i="1"/>
  <c r="H21" i="1" s="1"/>
  <c r="I8" i="1"/>
  <c r="I21" i="1" s="1"/>
  <c r="J8" i="1"/>
  <c r="J21" i="1" s="1"/>
  <c r="J34" i="4"/>
  <c r="K8" i="1"/>
  <c r="K20" i="1" s="1"/>
  <c r="K21" i="4"/>
  <c r="K34" i="4"/>
  <c r="E8" i="1"/>
  <c r="E23" i="1" s="1"/>
  <c r="J21" i="4"/>
  <c r="M8" i="1"/>
  <c r="M21" i="1" s="1"/>
  <c r="I34" i="4"/>
  <c r="M34" i="4"/>
  <c r="O21" i="4"/>
  <c r="N21" i="4"/>
  <c r="I21" i="4"/>
  <c r="I37" i="4" s="1"/>
  <c r="I10" i="6" s="1"/>
  <c r="H21" i="4"/>
  <c r="O34" i="4"/>
  <c r="M21" i="4"/>
  <c r="L21" i="4"/>
  <c r="N34" i="4"/>
  <c r="L34" i="4"/>
  <c r="H34" i="4"/>
  <c r="J24" i="1"/>
  <c r="F21" i="1"/>
  <c r="D11" i="6" l="1"/>
  <c r="D7" i="6"/>
  <c r="D15" i="6" s="1"/>
  <c r="H11" i="6"/>
  <c r="H7" i="6"/>
  <c r="H15" i="6" s="1"/>
  <c r="H23" i="6" s="1"/>
  <c r="H24" i="6" s="1"/>
  <c r="O11" i="6"/>
  <c r="O7" i="6"/>
  <c r="O15" i="6" s="1"/>
  <c r="O23" i="6" s="1"/>
  <c r="O24" i="6" s="1"/>
  <c r="J11" i="6"/>
  <c r="J7" i="6"/>
  <c r="J15" i="6" s="1"/>
  <c r="J23" i="6" s="1"/>
  <c r="J24" i="6" s="1"/>
  <c r="F11" i="6"/>
  <c r="F7" i="6"/>
  <c r="F15" i="6" s="1"/>
  <c r="K11" i="6"/>
  <c r="K7" i="6"/>
  <c r="K15" i="6" s="1"/>
  <c r="K23" i="6" s="1"/>
  <c r="K24" i="6" s="1"/>
  <c r="G11" i="6"/>
  <c r="G7" i="6"/>
  <c r="G15" i="6" s="1"/>
  <c r="M11" i="6"/>
  <c r="M7" i="6"/>
  <c r="M15" i="6" s="1"/>
  <c r="M23" i="6" s="1"/>
  <c r="M24" i="6" s="1"/>
  <c r="E11" i="6"/>
  <c r="E7" i="6"/>
  <c r="E15" i="6" s="1"/>
  <c r="L11" i="6"/>
  <c r="L7" i="6"/>
  <c r="L15" i="6" s="1"/>
  <c r="L23" i="6" s="1"/>
  <c r="L24" i="6" s="1"/>
  <c r="I11" i="6"/>
  <c r="I7" i="6"/>
  <c r="I15" i="6" s="1"/>
  <c r="I23" i="6" s="1"/>
  <c r="I24" i="6" s="1"/>
  <c r="N11" i="6"/>
  <c r="N7" i="6"/>
  <c r="N15" i="6" s="1"/>
  <c r="N23" i="6" s="1"/>
  <c r="M37" i="4"/>
  <c r="M10" i="6" s="1"/>
  <c r="N37" i="4"/>
  <c r="N10" i="6" s="1"/>
  <c r="L37" i="4"/>
  <c r="L10" i="6" s="1"/>
  <c r="O37" i="4"/>
  <c r="H37" i="4"/>
  <c r="J37" i="4"/>
  <c r="J10" i="6" s="1"/>
  <c r="K37" i="4"/>
  <c r="K10" i="6" s="1"/>
  <c r="L22" i="1"/>
  <c r="D20" i="1"/>
  <c r="G20" i="1"/>
  <c r="F25" i="1"/>
  <c r="F48" i="1" s="1"/>
  <c r="G23" i="1"/>
  <c r="G22" i="1"/>
  <c r="G25" i="1"/>
  <c r="D21" i="1"/>
  <c r="G24" i="1"/>
  <c r="D24" i="1"/>
  <c r="D22" i="1"/>
  <c r="L20" i="1"/>
  <c r="L21" i="1"/>
  <c r="D25" i="1"/>
  <c r="D48" i="1" s="1"/>
  <c r="L25" i="1"/>
  <c r="L47" i="1" s="1"/>
  <c r="L23" i="1"/>
  <c r="F23" i="1"/>
  <c r="J22" i="1"/>
  <c r="J20" i="1"/>
  <c r="I22" i="1"/>
  <c r="J25" i="1"/>
  <c r="J47" i="1" s="1"/>
  <c r="I24" i="1"/>
  <c r="J23" i="1"/>
  <c r="K23" i="1"/>
  <c r="I25" i="1"/>
  <c r="M25" i="1"/>
  <c r="I20" i="1"/>
  <c r="I23" i="1"/>
  <c r="M22" i="1"/>
  <c r="H24" i="1"/>
  <c r="M24" i="1"/>
  <c r="H20" i="1"/>
  <c r="F22" i="1"/>
  <c r="F24" i="1"/>
  <c r="H25" i="1"/>
  <c r="H22" i="1"/>
  <c r="K21" i="1"/>
  <c r="E25" i="1"/>
  <c r="H23" i="1"/>
  <c r="K25" i="1"/>
  <c r="K48" i="1" s="1"/>
  <c r="K24" i="1"/>
  <c r="M20" i="1"/>
  <c r="M23" i="1"/>
  <c r="E21" i="1"/>
  <c r="K22" i="1"/>
  <c r="E20" i="1"/>
  <c r="E24" i="1"/>
  <c r="E22" i="1"/>
  <c r="I4" i="6"/>
  <c r="I14" i="6" s="1"/>
  <c r="L4" i="6" l="1"/>
  <c r="K4" i="6"/>
  <c r="K14" i="6" s="1"/>
  <c r="K16" i="6" s="1"/>
  <c r="J4" i="6"/>
  <c r="J14" i="6" s="1"/>
  <c r="J16" i="6" s="1"/>
  <c r="O4" i="6"/>
  <c r="O14" i="6" s="1"/>
  <c r="O16" i="6" s="1"/>
  <c r="O10" i="6"/>
  <c r="N4" i="6"/>
  <c r="N14" i="6" s="1"/>
  <c r="N16" i="6" s="1"/>
  <c r="H4" i="6"/>
  <c r="H14" i="6" s="1"/>
  <c r="H16" i="6" s="1"/>
  <c r="H10" i="6"/>
  <c r="E23" i="6"/>
  <c r="E24" i="6" s="1"/>
  <c r="E16" i="6"/>
  <c r="G23" i="6"/>
  <c r="G24" i="6" s="1"/>
  <c r="G16" i="6"/>
  <c r="B20" i="9"/>
  <c r="N24" i="6"/>
  <c r="F23" i="6"/>
  <c r="F24" i="6" s="1"/>
  <c r="F16" i="6"/>
  <c r="D23" i="6"/>
  <c r="D24" i="6" s="1"/>
  <c r="D16" i="6"/>
  <c r="I16" i="6"/>
  <c r="F47" i="1"/>
  <c r="I47" i="1"/>
  <c r="M44" i="1"/>
  <c r="M46" i="1"/>
  <c r="M47" i="1"/>
  <c r="K45" i="1"/>
  <c r="K47" i="1"/>
  <c r="J46" i="1"/>
  <c r="H46" i="1"/>
  <c r="F44" i="1"/>
  <c r="E45" i="1"/>
  <c r="E47" i="1"/>
  <c r="D45" i="1"/>
  <c r="H45" i="1"/>
  <c r="I46" i="1"/>
  <c r="K46" i="1"/>
  <c r="I45" i="1"/>
  <c r="L46" i="1"/>
  <c r="D44" i="1"/>
  <c r="E46" i="1"/>
  <c r="I44" i="1"/>
  <c r="H47" i="1"/>
  <c r="J45" i="1"/>
  <c r="D47" i="1"/>
  <c r="G45" i="1"/>
  <c r="G44" i="1"/>
  <c r="J44" i="1"/>
  <c r="E44" i="1"/>
  <c r="K44" i="1"/>
  <c r="F45" i="1"/>
  <c r="M45" i="1"/>
  <c r="F46" i="1"/>
  <c r="L44" i="1"/>
  <c r="G47" i="1"/>
  <c r="G46" i="1"/>
  <c r="L45" i="1"/>
  <c r="D46" i="1"/>
  <c r="H44" i="1"/>
  <c r="F49" i="1"/>
  <c r="I48" i="1"/>
  <c r="I49" i="1"/>
  <c r="K49" i="1"/>
  <c r="J48" i="1"/>
  <c r="J49" i="1"/>
  <c r="H48" i="1"/>
  <c r="H49" i="1"/>
  <c r="E48" i="1"/>
  <c r="E49" i="1"/>
  <c r="M48" i="1"/>
  <c r="M49" i="1"/>
  <c r="L48" i="1"/>
  <c r="L49" i="1"/>
  <c r="G48" i="1"/>
  <c r="G49" i="1"/>
  <c r="D49" i="1"/>
  <c r="L14" i="6"/>
  <c r="L16" i="6" s="1"/>
  <c r="M4" i="6"/>
  <c r="D5" i="9" l="1"/>
  <c r="D7" i="9" s="1"/>
  <c r="D10" i="9" s="1"/>
  <c r="M14" i="6"/>
  <c r="M16" i="6" s="1"/>
  <c r="F50" i="1"/>
  <c r="E50" i="1"/>
  <c r="D50" i="1"/>
  <c r="M50" i="1"/>
  <c r="L50" i="1"/>
  <c r="I50" i="1"/>
  <c r="K50" i="1"/>
  <c r="J50" i="1"/>
  <c r="H50" i="1"/>
  <c r="G50" i="1"/>
  <c r="M51" i="1" l="1"/>
  <c r="D4" i="9" l="1"/>
  <c r="D6" i="9" s="1"/>
  <c r="D8" i="9" l="1"/>
  <c r="D11" i="9" s="1"/>
  <c r="D12" i="9" s="1"/>
  <c r="D18" i="9" l="1"/>
</calcChain>
</file>

<file path=xl/sharedStrings.xml><?xml version="1.0" encoding="utf-8"?>
<sst xmlns="http://schemas.openxmlformats.org/spreadsheetml/2006/main" count="511" uniqueCount="137">
  <si>
    <t>검</t>
    <phoneticPr fontId="1" type="noConversion"/>
  </si>
  <si>
    <t>활</t>
    <phoneticPr fontId="1" type="noConversion"/>
  </si>
  <si>
    <t>지팡이</t>
    <phoneticPr fontId="1" type="noConversion"/>
  </si>
  <si>
    <t>창</t>
    <phoneticPr fontId="1" type="noConversion"/>
  </si>
  <si>
    <t>A직업(검사)</t>
    <phoneticPr fontId="1" type="noConversion"/>
  </si>
  <si>
    <t>B직업(궁수)</t>
    <phoneticPr fontId="1" type="noConversion"/>
  </si>
  <si>
    <t>C직업(마법사)</t>
    <phoneticPr fontId="1" type="noConversion"/>
  </si>
  <si>
    <t>D직업(창병)</t>
    <phoneticPr fontId="1" type="noConversion"/>
  </si>
  <si>
    <t>모자</t>
    <phoneticPr fontId="1" type="noConversion"/>
  </si>
  <si>
    <t>벨트</t>
    <phoneticPr fontId="1" type="noConversion"/>
  </si>
  <si>
    <t>상의</t>
    <phoneticPr fontId="1" type="noConversion"/>
  </si>
  <si>
    <t>하의</t>
    <phoneticPr fontId="1" type="noConversion"/>
  </si>
  <si>
    <t>신발</t>
    <phoneticPr fontId="1" type="noConversion"/>
  </si>
  <si>
    <t>어깨</t>
    <phoneticPr fontId="1" type="noConversion"/>
  </si>
  <si>
    <t>평균 보유 개수</t>
    <phoneticPr fontId="1" type="noConversion"/>
  </si>
  <si>
    <t>총유저수</t>
    <phoneticPr fontId="1" type="noConversion"/>
  </si>
  <si>
    <t>유저당 평균 보유 캐릭터수</t>
    <phoneticPr fontId="1" type="noConversion"/>
  </si>
  <si>
    <t>총 캐릭터 수</t>
    <phoneticPr fontId="1" type="noConversion"/>
  </si>
  <si>
    <t>A</t>
    <phoneticPr fontId="1" type="noConversion"/>
  </si>
  <si>
    <t>B</t>
    <phoneticPr fontId="1" type="noConversion"/>
  </si>
  <si>
    <t>전체 아이템 수</t>
    <phoneticPr fontId="1" type="noConversion"/>
  </si>
  <si>
    <t>계</t>
    <phoneticPr fontId="1" type="noConversion"/>
  </si>
  <si>
    <t>강화 수준별 분포비율</t>
    <phoneticPr fontId="1" type="noConversion"/>
  </si>
  <si>
    <t>몬스터 초기체력</t>
    <phoneticPr fontId="1" type="noConversion"/>
  </si>
  <si>
    <t>몬스터 방어력</t>
    <phoneticPr fontId="1" type="noConversion"/>
  </si>
  <si>
    <t>강화 수준별 아이템 개수</t>
    <phoneticPr fontId="1" type="noConversion"/>
  </si>
  <si>
    <t>강화 수준별 강화비용</t>
    <phoneticPr fontId="1" type="noConversion"/>
  </si>
  <si>
    <t>0 &gt; 1</t>
    <phoneticPr fontId="1" type="noConversion"/>
  </si>
  <si>
    <t>1 &gt; 2</t>
    <phoneticPr fontId="1" type="noConversion"/>
  </si>
  <si>
    <t>2 &gt; 3</t>
    <phoneticPr fontId="1" type="noConversion"/>
  </si>
  <si>
    <t>3 &gt; 4</t>
    <phoneticPr fontId="1" type="noConversion"/>
  </si>
  <si>
    <t>4 &gt; 5</t>
    <phoneticPr fontId="1" type="noConversion"/>
  </si>
  <si>
    <t>강화 수준별 예상 강화 시도 횟수</t>
    <phoneticPr fontId="1" type="noConversion"/>
  </si>
  <si>
    <t>강화 수준별 강화 회수 골드</t>
    <phoneticPr fontId="1" type="noConversion"/>
  </si>
  <si>
    <t>총 강화 회수 골드</t>
    <phoneticPr fontId="1" type="noConversion"/>
  </si>
  <si>
    <t>1point당 수리비용</t>
    <phoneticPr fontId="1" type="noConversion"/>
  </si>
  <si>
    <t>한판당 내구도 소모 point</t>
    <phoneticPr fontId="1" type="noConversion"/>
  </si>
  <si>
    <t>하루 최대 이용횟수</t>
    <phoneticPr fontId="1" type="noConversion"/>
  </si>
  <si>
    <t>게임점유율</t>
    <phoneticPr fontId="1" type="noConversion"/>
  </si>
  <si>
    <t>분포비율</t>
    <phoneticPr fontId="1" type="noConversion"/>
  </si>
  <si>
    <t xml:space="preserve">                         
하루 플레이 횟수</t>
    <phoneticPr fontId="1" type="noConversion"/>
  </si>
  <si>
    <t>몬스터의 아이템 드랍확률</t>
    <phoneticPr fontId="1" type="noConversion"/>
  </si>
  <si>
    <t>판당 출현 몬스터 수</t>
    <phoneticPr fontId="1" type="noConversion"/>
  </si>
  <si>
    <t>몬스터의 골드 드랍량</t>
    <phoneticPr fontId="1" type="noConversion"/>
  </si>
  <si>
    <t>몬스터의 골드드랍확률</t>
    <phoneticPr fontId="1" type="noConversion"/>
  </si>
  <si>
    <t>목걸이</t>
    <phoneticPr fontId="1" type="noConversion"/>
  </si>
  <si>
    <t>반지</t>
    <phoneticPr fontId="1" type="noConversion"/>
  </si>
  <si>
    <t>평균 거래량</t>
    <phoneticPr fontId="1" type="noConversion"/>
  </si>
  <si>
    <t>신규직업 업데이트 가중치( + 요인)</t>
    <phoneticPr fontId="1" type="noConversion"/>
  </si>
  <si>
    <t>신규직업 업데이트 후 변화량</t>
    <phoneticPr fontId="1" type="noConversion"/>
  </si>
  <si>
    <t>아이템 지급 이벤트 가중치( - 요인)</t>
    <phoneticPr fontId="1" type="noConversion"/>
  </si>
  <si>
    <t>아이템 지급 이벤트 후 변화량</t>
    <phoneticPr fontId="1" type="noConversion"/>
  </si>
  <si>
    <t>수요량</t>
    <phoneticPr fontId="1" type="noConversion"/>
  </si>
  <si>
    <t>신규 직업 업데이트 후 변화량</t>
    <phoneticPr fontId="1" type="noConversion"/>
  </si>
  <si>
    <t>신규 직업 업데이트 가중치( + 요인)</t>
    <phoneticPr fontId="1" type="noConversion"/>
  </si>
  <si>
    <t>비율</t>
    <phoneticPr fontId="1" type="noConversion"/>
  </si>
  <si>
    <t>양</t>
    <phoneticPr fontId="1" type="noConversion"/>
  </si>
  <si>
    <t>현재 시장가격</t>
    <phoneticPr fontId="1" type="noConversion"/>
  </si>
  <si>
    <t>균형 시장 가격</t>
    <phoneticPr fontId="1" type="noConversion"/>
  </si>
  <si>
    <t>클리어 보상 골드</t>
    <phoneticPr fontId="1" type="noConversion"/>
  </si>
  <si>
    <t>가격 1% 상승당 수요량 감소분</t>
    <phoneticPr fontId="1" type="noConversion"/>
  </si>
  <si>
    <t>가격 1% 상승당 공급량 증가분</t>
    <phoneticPr fontId="1" type="noConversion"/>
  </si>
  <si>
    <t>수요량 감소분</t>
    <phoneticPr fontId="1" type="noConversion"/>
  </si>
  <si>
    <t>공급량 증가분</t>
    <phoneticPr fontId="1" type="noConversion"/>
  </si>
  <si>
    <t>가격 상승률(수요)</t>
    <phoneticPr fontId="1" type="noConversion"/>
  </si>
  <si>
    <t>가격 상승률(공급)</t>
    <phoneticPr fontId="1" type="noConversion"/>
  </si>
  <si>
    <t>균형 거래량 산출(전)</t>
    <phoneticPr fontId="1" type="noConversion"/>
  </si>
  <si>
    <t>균형 거래량 산출(후)</t>
    <phoneticPr fontId="1" type="noConversion"/>
  </si>
  <si>
    <t>계</t>
    <phoneticPr fontId="1" type="noConversion"/>
  </si>
  <si>
    <t>수요량과 공급량의 차이</t>
    <phoneticPr fontId="1" type="noConversion"/>
  </si>
  <si>
    <t>균형 거래량</t>
    <phoneticPr fontId="1" type="noConversion"/>
  </si>
  <si>
    <t>아이템별 거래액</t>
    <phoneticPr fontId="1" type="noConversion"/>
  </si>
  <si>
    <t>누적 강화수준 분포</t>
    <phoneticPr fontId="1" type="noConversion"/>
  </si>
  <si>
    <t>수요의 가격탄력성</t>
    <phoneticPr fontId="1" type="noConversion"/>
  </si>
  <si>
    <t>공급의 가격탄력성</t>
  </si>
  <si>
    <t>아이템 시장</t>
    <phoneticPr fontId="1" type="noConversion"/>
  </si>
  <si>
    <t>C</t>
    <phoneticPr fontId="1" type="noConversion"/>
  </si>
  <si>
    <t>D</t>
    <phoneticPr fontId="1" type="noConversion"/>
  </si>
  <si>
    <t>캐릭터</t>
    <phoneticPr fontId="1" type="noConversion"/>
  </si>
  <si>
    <t>몬스터</t>
    <phoneticPr fontId="1" type="noConversion"/>
  </si>
  <si>
    <t>직업분포율</t>
    <phoneticPr fontId="1" type="noConversion"/>
  </si>
  <si>
    <t>기타 파라미터</t>
    <phoneticPr fontId="1" type="noConversion"/>
  </si>
  <si>
    <t>수리비용</t>
    <phoneticPr fontId="1" type="noConversion"/>
  </si>
  <si>
    <t>균형 시장 가격</t>
    <phoneticPr fontId="1" type="noConversion"/>
  </si>
  <si>
    <t xml:space="preserve">                      아이템
공급량</t>
    <phoneticPr fontId="1" type="noConversion"/>
  </si>
  <si>
    <t xml:space="preserve">                      아이템
변화량</t>
    <phoneticPr fontId="1" type="noConversion"/>
  </si>
  <si>
    <t xml:space="preserve">                      아이템
비율</t>
    <phoneticPr fontId="1" type="noConversion"/>
  </si>
  <si>
    <t xml:space="preserve">                      아이템
평균 거래량</t>
    <phoneticPr fontId="1" type="noConversion"/>
  </si>
  <si>
    <t>게임 내 발굴 골드</t>
    <phoneticPr fontId="1" type="noConversion"/>
  </si>
  <si>
    <t>총 회수 골드</t>
    <phoneticPr fontId="1" type="noConversion"/>
  </si>
  <si>
    <t>골드 수요량</t>
    <phoneticPr fontId="1" type="noConversion"/>
  </si>
  <si>
    <t>골드 공급량</t>
    <phoneticPr fontId="1" type="noConversion"/>
  </si>
  <si>
    <t>골드수요의 가격탄력성</t>
    <phoneticPr fontId="1" type="noConversion"/>
  </si>
  <si>
    <t>골드공급의 가격탄력성</t>
    <phoneticPr fontId="1" type="noConversion"/>
  </si>
  <si>
    <t>가격 X% 상승 시 수요량</t>
    <phoneticPr fontId="1" type="noConversion"/>
  </si>
  <si>
    <t>가격 X% 상승 시 공급량</t>
    <phoneticPr fontId="1" type="noConversion"/>
  </si>
  <si>
    <t>가격 X% 상승 시 수요량</t>
    <phoneticPr fontId="1" type="noConversion"/>
  </si>
  <si>
    <t>가격 X% 상승시 공급량</t>
    <phoneticPr fontId="1" type="noConversion"/>
  </si>
  <si>
    <t>수요량과 공급량의 차이</t>
    <phoneticPr fontId="1" type="noConversion"/>
  </si>
  <si>
    <t>가격 상승률(수요)</t>
    <phoneticPr fontId="1" type="noConversion"/>
  </si>
  <si>
    <t>가격 상승률(공급)</t>
    <phoneticPr fontId="1" type="noConversion"/>
  </si>
  <si>
    <t>계</t>
    <phoneticPr fontId="1" type="noConversion"/>
  </si>
  <si>
    <t>균형 골드가격</t>
    <phoneticPr fontId="1" type="noConversion"/>
  </si>
  <si>
    <t>균형 골드거래량</t>
    <phoneticPr fontId="1" type="noConversion"/>
  </si>
  <si>
    <t>균형 골드가격 산출(후)</t>
    <phoneticPr fontId="1" type="noConversion"/>
  </si>
  <si>
    <t>가격 1% 상승시 수요량 변화분</t>
    <phoneticPr fontId="1" type="noConversion"/>
  </si>
  <si>
    <t>가격 1% 상승시 공급량 변화분</t>
    <phoneticPr fontId="1" type="noConversion"/>
  </si>
  <si>
    <t>균형 골드가격 산출(전)</t>
    <phoneticPr fontId="1" type="noConversion"/>
  </si>
  <si>
    <t>목걸이의 현금판매가격</t>
    <phoneticPr fontId="1" type="noConversion"/>
  </si>
  <si>
    <t>반지의 현금판매가격</t>
    <phoneticPr fontId="1" type="noConversion"/>
  </si>
  <si>
    <t>매출액(일)</t>
    <phoneticPr fontId="1" type="noConversion"/>
  </si>
  <si>
    <t>초기값</t>
    <phoneticPr fontId="1" type="noConversion"/>
  </si>
  <si>
    <t>변화값</t>
    <phoneticPr fontId="1" type="noConversion"/>
  </si>
  <si>
    <t>초기값</t>
    <phoneticPr fontId="1" type="noConversion"/>
  </si>
  <si>
    <t>변화값</t>
    <phoneticPr fontId="1" type="noConversion"/>
  </si>
  <si>
    <t>강화단계</t>
    <phoneticPr fontId="1" type="noConversion"/>
  </si>
  <si>
    <t>강화비용</t>
    <phoneticPr fontId="1" type="noConversion"/>
  </si>
  <si>
    <t>성공률</t>
    <phoneticPr fontId="1" type="noConversion"/>
  </si>
  <si>
    <t xml:space="preserve">                      아이템
캐릭터</t>
    <phoneticPr fontId="1" type="noConversion"/>
  </si>
  <si>
    <t xml:space="preserve">                      아이템
양</t>
    <phoneticPr fontId="1" type="noConversion"/>
  </si>
  <si>
    <t>일일 던전 플레이 횟수</t>
    <phoneticPr fontId="1" type="noConversion"/>
  </si>
  <si>
    <t>일일 던전 클리어 횟수</t>
    <phoneticPr fontId="1" type="noConversion"/>
  </si>
  <si>
    <t>일일 수리비용</t>
    <phoneticPr fontId="1" type="noConversion"/>
  </si>
  <si>
    <t>일 평균 거래량</t>
    <phoneticPr fontId="1" type="noConversion"/>
  </si>
  <si>
    <t>아이템 k의 총 공급량</t>
    <phoneticPr fontId="1" type="noConversion"/>
  </si>
  <si>
    <t>아이템 k의 총 수요량</t>
    <phoneticPr fontId="1" type="noConversion"/>
  </si>
  <si>
    <t>가격에 의한 기본거래량</t>
    <phoneticPr fontId="1" type="noConversion"/>
  </si>
  <si>
    <t>가격에 의한 기본 거래량</t>
    <phoneticPr fontId="1" type="noConversion"/>
  </si>
  <si>
    <t>총 수요량</t>
    <phoneticPr fontId="1" type="noConversion"/>
  </si>
  <si>
    <t>총 공급량</t>
    <phoneticPr fontId="1" type="noConversion"/>
  </si>
  <si>
    <t>현재 골드 가격(1000만 골드당)</t>
    <phoneticPr fontId="1" type="noConversion"/>
  </si>
  <si>
    <t>균형 골드가격(1000만 골드당)</t>
    <phoneticPr fontId="1" type="noConversion"/>
  </si>
  <si>
    <t xml:space="preserve">                                               아이템
가격</t>
    <phoneticPr fontId="1" type="noConversion"/>
  </si>
  <si>
    <t xml:space="preserve">                                                아이템
가격</t>
    <phoneticPr fontId="1" type="noConversion"/>
  </si>
  <si>
    <t xml:space="preserve">                                                아이템
변화량</t>
    <phoneticPr fontId="1" type="noConversion"/>
  </si>
  <si>
    <t xml:space="preserve">                             아이템
캐릭터</t>
    <phoneticPr fontId="1" type="noConversion"/>
  </si>
  <si>
    <t xml:space="preserve">                             아이템
강화수준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</si>
</sst>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0.0"/>
    <numFmt numFmtId="178" formatCode="#,##0_);[Red]\(#,##0\)"/>
    <numFmt numFmtId="179" formatCode="#,##0_ "/>
    <numFmt numFmtId="180" formatCode="&quot;₩&quot;#,##0"/>
    <numFmt numFmtId="181" formatCode="&quot;₩&quot;#,##0_);[Red]\(&quot;₩&quot;#,##0\)"/>
  </numFmts>
  <fonts count="2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33CC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24"/>
      <color theme="1"/>
      <name val="12롯데마트드림Bold"/>
      <family val="1"/>
      <charset val="129"/>
    </font>
    <font>
      <b/>
      <sz val="11"/>
      <color theme="1"/>
      <name val="Adobe 고딕 Std B"/>
      <family val="2"/>
      <charset val="129"/>
    </font>
    <font>
      <sz val="11"/>
      <color theme="1"/>
      <name val="Adobe 고딕 Std B"/>
      <family val="2"/>
      <charset val="129"/>
    </font>
    <font>
      <sz val="16"/>
      <color rgb="FF000000"/>
      <name val="12롯데마트드림Bold"/>
      <family val="1"/>
      <charset val="129"/>
    </font>
    <font>
      <sz val="20"/>
      <color theme="1"/>
      <name val="12롯데마트드림Bold"/>
      <family val="1"/>
      <charset val="129"/>
    </font>
    <font>
      <sz val="11"/>
      <color theme="1"/>
      <name val="12롯데마트드림Bold"/>
      <family val="1"/>
      <charset val="129"/>
    </font>
    <font>
      <sz val="11"/>
      <color theme="1"/>
      <name val="맑은 고딕"/>
      <family val="2"/>
      <scheme val="minor"/>
    </font>
    <font>
      <b/>
      <sz val="11"/>
      <color rgb="FF251AFE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12롯데마트행복Bold"/>
      <family val="1"/>
      <charset val="129"/>
    </font>
    <font>
      <sz val="11"/>
      <color rgb="FFFF0000"/>
      <name val="맑은 고딕"/>
      <family val="3"/>
      <charset val="129"/>
      <scheme val="minor"/>
    </font>
    <font>
      <sz val="11"/>
      <color rgb="FFFF0000"/>
      <name val="Adobe 고딕 Std B"/>
      <family val="2"/>
      <charset val="129"/>
    </font>
    <font>
      <sz val="16"/>
      <color rgb="FF000000"/>
      <name val="맑은 고딕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AA7"/>
        <bgColor indexed="64"/>
      </patternFill>
    </fill>
    <fill>
      <patternFill patternType="solid">
        <fgColor rgb="FFC0C8F2"/>
        <bgColor indexed="64"/>
      </patternFill>
    </fill>
    <fill>
      <patternFill patternType="solid">
        <fgColor rgb="FF9A8EF6"/>
        <bgColor indexed="64"/>
      </patternFill>
    </fill>
    <fill>
      <patternFill patternType="solid">
        <fgColor rgb="FF7867F3"/>
        <bgColor indexed="64"/>
      </patternFill>
    </fill>
    <fill>
      <patternFill patternType="solid">
        <fgColor rgb="FF56F888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DC97"/>
        <bgColor indexed="64"/>
      </patternFill>
    </fill>
    <fill>
      <patternFill patternType="solid">
        <fgColor rgb="FFFFB115"/>
        <bgColor indexed="64"/>
      </patternFill>
    </fill>
    <fill>
      <patternFill patternType="solid">
        <fgColor rgb="FF0D97FF"/>
        <bgColor indexed="64"/>
      </patternFill>
    </fill>
    <fill>
      <patternFill patternType="solid">
        <fgColor rgb="FFCAC6FE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11FF7D"/>
        <bgColor indexed="64"/>
      </patternFill>
    </fill>
  </fills>
  <borders count="10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 diagonalDown="1">
      <left style="medium">
        <color auto="1"/>
      </left>
      <right/>
      <top style="double">
        <color auto="1"/>
      </top>
      <bottom/>
      <diagonal style="thin">
        <color auto="1"/>
      </diagonal>
    </border>
    <border diagonalDown="1">
      <left/>
      <right/>
      <top style="double">
        <color auto="1"/>
      </top>
      <bottom/>
      <diagonal style="thin">
        <color auto="1"/>
      </diagonal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 diagonalDown="1"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 style="thin">
        <color auto="1"/>
      </diagonal>
    </border>
    <border diagonalDown="1"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 style="thin">
        <color auto="1"/>
      </diagonal>
    </border>
    <border diagonalDown="1"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 style="thin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thin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 diagonalDown="1">
      <left style="medium">
        <color auto="1"/>
      </left>
      <right/>
      <top style="medium">
        <color auto="1"/>
      </top>
      <bottom/>
      <diagonal style="thin">
        <color auto="1"/>
      </diagonal>
    </border>
    <border diagonalDown="1">
      <left style="medium">
        <color auto="1"/>
      </left>
      <right/>
      <top/>
      <bottom/>
      <diagonal style="thin">
        <color auto="1"/>
      </diagonal>
    </border>
    <border>
      <left/>
      <right/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medium">
        <color auto="1"/>
      </bottom>
      <diagonal/>
    </border>
    <border diagonalDown="1">
      <left/>
      <right style="hair">
        <color auto="1"/>
      </right>
      <top style="medium">
        <color auto="1"/>
      </top>
      <bottom/>
      <diagonal style="thin">
        <color auto="1"/>
      </diagonal>
    </border>
    <border diagonalDown="1">
      <left/>
      <right style="hair">
        <color auto="1"/>
      </right>
      <top/>
      <bottom/>
      <diagonal style="thin">
        <color auto="1"/>
      </diagonal>
    </border>
    <border diagonalDown="1">
      <left style="medium">
        <color auto="1"/>
      </left>
      <right style="hair">
        <color auto="1"/>
      </right>
      <top/>
      <bottom style="hair">
        <color auto="1"/>
      </bottom>
      <diagonal style="thin">
        <color auto="1"/>
      </diagonal>
    </border>
    <border diagonalDown="1">
      <left style="medium">
        <color auto="1"/>
      </left>
      <right/>
      <top/>
      <bottom style="hair">
        <color auto="1"/>
      </bottom>
      <diagonal style="thin">
        <color auto="1"/>
      </diagonal>
    </border>
    <border diagonalDown="1">
      <left/>
      <right style="hair">
        <color auto="1"/>
      </right>
      <top/>
      <bottom style="hair">
        <color auto="1"/>
      </bottom>
      <diagonal style="thin">
        <color auto="1"/>
      </diagonal>
    </border>
    <border diagonalDown="1">
      <left style="medium">
        <color auto="1"/>
      </left>
      <right/>
      <top style="medium">
        <color auto="1"/>
      </top>
      <bottom style="hair">
        <color auto="1"/>
      </bottom>
      <diagonal style="thin">
        <color auto="1"/>
      </diagonal>
    </border>
    <border diagonalDown="1">
      <left style="medium">
        <color auto="1"/>
      </left>
      <right/>
      <top style="hair">
        <color auto="1"/>
      </top>
      <bottom style="hair">
        <color auto="1"/>
      </bottom>
      <diagonal style="thin">
        <color auto="1"/>
      </diagonal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double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 diagonalDown="1">
      <left/>
      <right style="hair">
        <color auto="1"/>
      </right>
      <top style="medium">
        <color auto="1"/>
      </top>
      <bottom style="hair">
        <color auto="1"/>
      </bottom>
      <diagonal style="thin">
        <color auto="1"/>
      </diagonal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thin">
        <color auto="1"/>
      </diagonal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thin">
        <color auto="1"/>
      </diagonal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medium">
        <color auto="1"/>
      </right>
      <top/>
      <bottom style="double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double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 diagonalDown="1">
      <left/>
      <right/>
      <top/>
      <bottom/>
      <diagonal style="thin">
        <color auto="1"/>
      </diagonal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 diagonalDown="1">
      <left style="medium">
        <color auto="1"/>
      </left>
      <right style="medium">
        <color auto="1"/>
      </right>
      <top style="double">
        <color auto="1"/>
      </top>
      <bottom style="hair">
        <color auto="1"/>
      </bottom>
      <diagonal style="thin">
        <color auto="1"/>
      </diagonal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 diagonalDown="1">
      <left style="medium">
        <color auto="1"/>
      </left>
      <right/>
      <top style="medium">
        <color auto="1"/>
      </top>
      <bottom style="double">
        <color auto="1"/>
      </bottom>
      <diagonal style="thin">
        <color auto="1"/>
      </diagonal>
    </border>
    <border>
      <left style="hair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double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>
      <alignment vertical="center"/>
    </xf>
  </cellStyleXfs>
  <cellXfs count="35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9" fontId="0" fillId="3" borderId="19" xfId="0" applyNumberFormat="1" applyFill="1" applyBorder="1" applyAlignment="1">
      <alignment horizontal="center"/>
    </xf>
    <xf numFmtId="0" fontId="10" fillId="7" borderId="29" xfId="0" applyFont="1" applyFill="1" applyBorder="1" applyAlignment="1">
      <alignment horizontal="center"/>
    </xf>
    <xf numFmtId="0" fontId="10" fillId="7" borderId="30" xfId="0" applyFont="1" applyFill="1" applyBorder="1" applyAlignment="1">
      <alignment horizontal="center"/>
    </xf>
    <xf numFmtId="0" fontId="10" fillId="7" borderId="23" xfId="0" applyFont="1" applyFill="1" applyBorder="1" applyAlignment="1">
      <alignment horizontal="center"/>
    </xf>
    <xf numFmtId="0" fontId="10" fillId="10" borderId="29" xfId="0" applyFont="1" applyFill="1" applyBorder="1" applyAlignment="1">
      <alignment horizontal="center"/>
    </xf>
    <xf numFmtId="0" fontId="10" fillId="10" borderId="23" xfId="0" applyFont="1" applyFill="1" applyBorder="1" applyAlignment="1">
      <alignment horizontal="center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9" fontId="0" fillId="3" borderId="33" xfId="0" applyNumberFormat="1" applyFill="1" applyBorder="1" applyAlignment="1">
      <alignment horizontal="center"/>
    </xf>
    <xf numFmtId="0" fontId="10" fillId="12" borderId="29" xfId="0" applyFont="1" applyFill="1" applyBorder="1" applyAlignment="1">
      <alignment horizontal="center"/>
    </xf>
    <xf numFmtId="0" fontId="10" fillId="12" borderId="32" xfId="0" applyFont="1" applyFill="1" applyBorder="1" applyAlignment="1">
      <alignment horizontal="center"/>
    </xf>
    <xf numFmtId="0" fontId="10" fillId="12" borderId="26" xfId="0" applyFont="1" applyFill="1" applyBorder="1" applyAlignment="1">
      <alignment horizontal="center"/>
    </xf>
    <xf numFmtId="0" fontId="10" fillId="12" borderId="23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0" fontId="0" fillId="13" borderId="0" xfId="0" applyNumberFormat="1" applyFill="1" applyAlignment="1">
      <alignment horizontal="center"/>
    </xf>
    <xf numFmtId="0" fontId="0" fillId="13" borderId="0" xfId="0" applyFill="1" applyBorder="1" applyAlignment="1">
      <alignment horizontal="center" wrapText="1"/>
    </xf>
    <xf numFmtId="1" fontId="0" fillId="13" borderId="0" xfId="0" applyNumberFormat="1" applyFill="1"/>
    <xf numFmtId="0" fontId="5" fillId="13" borderId="0" xfId="0" applyFont="1" applyFill="1" applyAlignment="1">
      <alignment horizontal="center"/>
    </xf>
    <xf numFmtId="0" fontId="0" fillId="3" borderId="6" xfId="0" applyFill="1" applyBorder="1"/>
    <xf numFmtId="0" fontId="0" fillId="3" borderId="7" xfId="0" applyFill="1" applyBorder="1"/>
    <xf numFmtId="0" fontId="0" fillId="3" borderId="1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10" fontId="0" fillId="3" borderId="18" xfId="0" applyNumberFormat="1" applyFill="1" applyBorder="1" applyAlignment="1">
      <alignment horizontal="center"/>
    </xf>
    <xf numFmtId="10" fontId="0" fillId="3" borderId="19" xfId="0" applyNumberFormat="1" applyFill="1" applyBorder="1" applyAlignment="1">
      <alignment horizontal="center"/>
    </xf>
    <xf numFmtId="10" fontId="0" fillId="3" borderId="38" xfId="0" applyNumberFormat="1" applyFill="1" applyBorder="1" applyAlignment="1">
      <alignment horizontal="center"/>
    </xf>
    <xf numFmtId="10" fontId="0" fillId="3" borderId="33" xfId="0" applyNumberFormat="1" applyFill="1" applyBorder="1" applyAlignment="1">
      <alignment horizontal="center"/>
    </xf>
    <xf numFmtId="1" fontId="0" fillId="3" borderId="18" xfId="0" applyNumberFormat="1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38" xfId="0" applyNumberFormat="1" applyFill="1" applyBorder="1" applyAlignment="1">
      <alignment horizontal="center"/>
    </xf>
    <xf numFmtId="177" fontId="0" fillId="3" borderId="18" xfId="0" applyNumberFormat="1" applyFill="1" applyBorder="1" applyAlignment="1">
      <alignment horizontal="center"/>
    </xf>
    <xf numFmtId="177" fontId="0" fillId="3" borderId="19" xfId="0" applyNumberFormat="1" applyFill="1" applyBorder="1" applyAlignment="1">
      <alignment horizontal="center"/>
    </xf>
    <xf numFmtId="178" fontId="0" fillId="3" borderId="18" xfId="0" applyNumberFormat="1" applyFill="1" applyBorder="1" applyAlignment="1">
      <alignment horizontal="right"/>
    </xf>
    <xf numFmtId="178" fontId="0" fillId="3" borderId="19" xfId="0" applyNumberFormat="1" applyFill="1" applyBorder="1" applyAlignment="1">
      <alignment horizontal="right"/>
    </xf>
    <xf numFmtId="1" fontId="0" fillId="3" borderId="21" xfId="0" applyNumberFormat="1" applyFill="1" applyBorder="1" applyAlignment="1">
      <alignment horizontal="center"/>
    </xf>
    <xf numFmtId="1" fontId="0" fillId="3" borderId="22" xfId="0" applyNumberFormat="1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178" fontId="0" fillId="3" borderId="38" xfId="0" applyNumberFormat="1" applyFill="1" applyBorder="1" applyAlignment="1">
      <alignment horizontal="center"/>
    </xf>
    <xf numFmtId="178" fontId="3" fillId="3" borderId="41" xfId="0" applyNumberFormat="1" applyFont="1" applyFill="1" applyBorder="1" applyAlignment="1">
      <alignment horizontal="center"/>
    </xf>
    <xf numFmtId="10" fontId="0" fillId="3" borderId="45" xfId="0" applyNumberFormat="1" applyFill="1" applyBorder="1" applyAlignment="1">
      <alignment horizontal="center"/>
    </xf>
    <xf numFmtId="10" fontId="0" fillId="3" borderId="46" xfId="0" applyNumberFormat="1" applyFill="1" applyBorder="1" applyAlignment="1">
      <alignment horizontal="center"/>
    </xf>
    <xf numFmtId="178" fontId="2" fillId="3" borderId="45" xfId="0" applyNumberFormat="1" applyFont="1" applyFill="1" applyBorder="1" applyAlignment="1">
      <alignment horizontal="center"/>
    </xf>
    <xf numFmtId="178" fontId="2" fillId="3" borderId="46" xfId="0" applyNumberFormat="1" applyFont="1" applyFill="1" applyBorder="1" applyAlignment="1">
      <alignment horizontal="center"/>
    </xf>
    <xf numFmtId="178" fontId="0" fillId="3" borderId="40" xfId="0" applyNumberFormat="1" applyFill="1" applyBorder="1" applyAlignment="1">
      <alignment horizontal="center"/>
    </xf>
    <xf numFmtId="0" fontId="5" fillId="3" borderId="7" xfId="0" applyFont="1" applyFill="1" applyBorder="1"/>
    <xf numFmtId="0" fontId="0" fillId="12" borderId="29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0" fillId="12" borderId="39" xfId="0" applyFill="1" applyBorder="1" applyAlignment="1">
      <alignment horizontal="center"/>
    </xf>
    <xf numFmtId="0" fontId="0" fillId="12" borderId="31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78" fontId="0" fillId="3" borderId="16" xfId="0" applyNumberFormat="1" applyFill="1" applyBorder="1" applyAlignment="1">
      <alignment horizontal="right"/>
    </xf>
    <xf numFmtId="0" fontId="0" fillId="3" borderId="32" xfId="0" applyFill="1" applyBorder="1" applyAlignment="1">
      <alignment horizontal="center"/>
    </xf>
    <xf numFmtId="178" fontId="0" fillId="3" borderId="33" xfId="0" applyNumberFormat="1" applyFill="1" applyBorder="1" applyAlignment="1">
      <alignment horizontal="right"/>
    </xf>
    <xf numFmtId="0" fontId="0" fillId="3" borderId="47" xfId="0" applyFill="1" applyBorder="1" applyAlignment="1">
      <alignment horizontal="center"/>
    </xf>
    <xf numFmtId="9" fontId="0" fillId="3" borderId="48" xfId="0" applyNumberFormat="1" applyFill="1" applyBorder="1" applyAlignment="1">
      <alignment horizontal="center"/>
    </xf>
    <xf numFmtId="1" fontId="2" fillId="3" borderId="48" xfId="0" applyNumberFormat="1" applyFont="1" applyFill="1" applyBorder="1" applyAlignment="1">
      <alignment horizontal="center"/>
    </xf>
    <xf numFmtId="178" fontId="3" fillId="3" borderId="49" xfId="0" applyNumberFormat="1" applyFont="1" applyFill="1" applyBorder="1"/>
    <xf numFmtId="1" fontId="5" fillId="3" borderId="53" xfId="0" applyNumberFormat="1" applyFont="1" applyFill="1" applyBorder="1" applyAlignment="1">
      <alignment horizontal="center"/>
    </xf>
    <xf numFmtId="1" fontId="5" fillId="3" borderId="54" xfId="0" applyNumberFormat="1" applyFont="1" applyFill="1" applyBorder="1" applyAlignment="1">
      <alignment horizontal="center"/>
    </xf>
    <xf numFmtId="0" fontId="2" fillId="3" borderId="53" xfId="0" applyFont="1" applyFill="1" applyBorder="1" applyAlignment="1">
      <alignment horizontal="center"/>
    </xf>
    <xf numFmtId="0" fontId="2" fillId="3" borderId="54" xfId="0" applyFont="1" applyFill="1" applyBorder="1" applyAlignment="1">
      <alignment horizontal="center"/>
    </xf>
    <xf numFmtId="1" fontId="2" fillId="3" borderId="57" xfId="0" applyNumberFormat="1" applyFont="1" applyFill="1" applyBorder="1" applyAlignment="1">
      <alignment horizontal="center"/>
    </xf>
    <xf numFmtId="1" fontId="5" fillId="3" borderId="57" xfId="0" applyNumberFormat="1" applyFont="1" applyFill="1" applyBorder="1" applyAlignment="1">
      <alignment horizontal="center"/>
    </xf>
    <xf numFmtId="0" fontId="2" fillId="3" borderId="57" xfId="0" applyFont="1" applyFill="1" applyBorder="1" applyAlignment="1">
      <alignment horizontal="center"/>
    </xf>
    <xf numFmtId="1" fontId="3" fillId="3" borderId="58" xfId="0" applyNumberFormat="1" applyFont="1" applyFill="1" applyBorder="1" applyAlignment="1">
      <alignment horizontal="center"/>
    </xf>
    <xf numFmtId="1" fontId="3" fillId="3" borderId="20" xfId="0" applyNumberFormat="1" applyFont="1" applyFill="1" applyBorder="1" applyAlignment="1">
      <alignment horizontal="center"/>
    </xf>
    <xf numFmtId="1" fontId="3" fillId="3" borderId="21" xfId="0" applyNumberFormat="1" applyFont="1" applyFill="1" applyBorder="1" applyAlignment="1">
      <alignment horizontal="center"/>
    </xf>
    <xf numFmtId="1" fontId="3" fillId="3" borderId="22" xfId="0" applyNumberFormat="1" applyFont="1" applyFill="1" applyBorder="1" applyAlignment="1">
      <alignment horizontal="center"/>
    </xf>
    <xf numFmtId="1" fontId="0" fillId="3" borderId="17" xfId="0" applyNumberFormat="1" applyFill="1" applyBorder="1" applyAlignment="1">
      <alignment horizontal="center"/>
    </xf>
    <xf numFmtId="1" fontId="2" fillId="3" borderId="69" xfId="0" applyNumberFormat="1" applyFont="1" applyFill="1" applyBorder="1" applyAlignment="1">
      <alignment horizontal="center"/>
    </xf>
    <xf numFmtId="1" fontId="2" fillId="3" borderId="38" xfId="0" applyNumberFormat="1" applyFont="1" applyFill="1" applyBorder="1" applyAlignment="1">
      <alignment horizontal="center"/>
    </xf>
    <xf numFmtId="1" fontId="2" fillId="3" borderId="33" xfId="0" applyNumberFormat="1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69" xfId="0" applyFill="1" applyBorder="1" applyAlignment="1">
      <alignment horizontal="center"/>
    </xf>
    <xf numFmtId="1" fontId="0" fillId="3" borderId="68" xfId="0" applyNumberFormat="1" applyFill="1" applyBorder="1" applyAlignment="1">
      <alignment horizontal="center"/>
    </xf>
    <xf numFmtId="1" fontId="0" fillId="3" borderId="39" xfId="0" applyNumberFormat="1" applyFill="1" applyBorder="1" applyAlignment="1">
      <alignment horizontal="center"/>
    </xf>
    <xf numFmtId="1" fontId="0" fillId="3" borderId="31" xfId="0" applyNumberFormat="1" applyFill="1" applyBorder="1" applyAlignment="1">
      <alignment horizontal="center"/>
    </xf>
    <xf numFmtId="176" fontId="0" fillId="3" borderId="72" xfId="0" applyNumberFormat="1" applyFill="1" applyBorder="1" applyAlignment="1">
      <alignment horizontal="center"/>
    </xf>
    <xf numFmtId="176" fontId="0" fillId="3" borderId="66" xfId="0" applyNumberFormat="1" applyFill="1" applyBorder="1" applyAlignment="1">
      <alignment horizontal="center"/>
    </xf>
    <xf numFmtId="10" fontId="0" fillId="3" borderId="66" xfId="0" applyNumberFormat="1" applyFill="1" applyBorder="1" applyAlignment="1">
      <alignment horizontal="center"/>
    </xf>
    <xf numFmtId="176" fontId="0" fillId="3" borderId="73" xfId="0" applyNumberFormat="1" applyFill="1" applyBorder="1" applyAlignment="1">
      <alignment horizontal="center"/>
    </xf>
    <xf numFmtId="2" fontId="5" fillId="3" borderId="20" xfId="0" applyNumberFormat="1" applyFont="1" applyFill="1" applyBorder="1" applyAlignment="1">
      <alignment horizontal="center"/>
    </xf>
    <xf numFmtId="2" fontId="5" fillId="3" borderId="21" xfId="0" applyNumberFormat="1" applyFont="1" applyFill="1" applyBorder="1" applyAlignment="1">
      <alignment horizontal="center"/>
    </xf>
    <xf numFmtId="2" fontId="5" fillId="3" borderId="22" xfId="0" applyNumberFormat="1" applyFont="1" applyFill="1" applyBorder="1" applyAlignment="1">
      <alignment horizontal="center"/>
    </xf>
    <xf numFmtId="1" fontId="5" fillId="3" borderId="17" xfId="0" applyNumberFormat="1" applyFont="1" applyFill="1" applyBorder="1" applyAlignment="1">
      <alignment horizontal="center"/>
    </xf>
    <xf numFmtId="1" fontId="5" fillId="3" borderId="18" xfId="0" applyNumberFormat="1" applyFont="1" applyFill="1" applyBorder="1" applyAlignment="1">
      <alignment horizontal="center"/>
    </xf>
    <xf numFmtId="1" fontId="5" fillId="3" borderId="19" xfId="0" applyNumberFormat="1" applyFont="1" applyFill="1" applyBorder="1" applyAlignment="1">
      <alignment horizontal="center"/>
    </xf>
    <xf numFmtId="1" fontId="5" fillId="3" borderId="20" xfId="0" applyNumberFormat="1" applyFont="1" applyFill="1" applyBorder="1" applyAlignment="1">
      <alignment horizontal="center"/>
    </xf>
    <xf numFmtId="1" fontId="5" fillId="3" borderId="22" xfId="0" applyNumberFormat="1" applyFont="1" applyFill="1" applyBorder="1" applyAlignment="1">
      <alignment horizontal="center"/>
    </xf>
    <xf numFmtId="9" fontId="3" fillId="3" borderId="20" xfId="0" applyNumberFormat="1" applyFont="1" applyFill="1" applyBorder="1" applyAlignment="1">
      <alignment horizontal="center"/>
    </xf>
    <xf numFmtId="9" fontId="3" fillId="3" borderId="21" xfId="0" applyNumberFormat="1" applyFont="1" applyFill="1" applyBorder="1" applyAlignment="1">
      <alignment horizontal="center"/>
    </xf>
    <xf numFmtId="9" fontId="3" fillId="3" borderId="22" xfId="0" applyNumberFormat="1" applyFont="1" applyFill="1" applyBorder="1" applyAlignment="1">
      <alignment horizontal="center"/>
    </xf>
    <xf numFmtId="1" fontId="3" fillId="3" borderId="39" xfId="0" applyNumberFormat="1" applyFont="1" applyFill="1" applyBorder="1" applyAlignment="1">
      <alignment horizontal="center"/>
    </xf>
    <xf numFmtId="1" fontId="3" fillId="3" borderId="31" xfId="0" applyNumberFormat="1" applyFont="1" applyFill="1" applyBorder="1" applyAlignment="1">
      <alignment horizontal="center"/>
    </xf>
    <xf numFmtId="1" fontId="6" fillId="3" borderId="18" xfId="0" applyNumberFormat="1" applyFont="1" applyFill="1" applyBorder="1" applyAlignment="1">
      <alignment horizontal="center"/>
    </xf>
    <xf numFmtId="1" fontId="6" fillId="3" borderId="19" xfId="0" applyNumberFormat="1" applyFont="1" applyFill="1" applyBorder="1" applyAlignment="1">
      <alignment horizontal="center"/>
    </xf>
    <xf numFmtId="179" fontId="2" fillId="3" borderId="21" xfId="0" applyNumberFormat="1" applyFont="1" applyFill="1" applyBorder="1" applyAlignment="1">
      <alignment horizontal="center"/>
    </xf>
    <xf numFmtId="179" fontId="2" fillId="3" borderId="22" xfId="0" applyNumberFormat="1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49" xfId="0" applyFont="1" applyFill="1" applyBorder="1" applyAlignment="1">
      <alignment horizontal="center"/>
    </xf>
    <xf numFmtId="0" fontId="0" fillId="14" borderId="68" xfId="0" applyFill="1" applyBorder="1" applyAlignment="1">
      <alignment horizontal="center"/>
    </xf>
    <xf numFmtId="0" fontId="0" fillId="14" borderId="39" xfId="0" applyFill="1" applyBorder="1" applyAlignment="1">
      <alignment horizontal="center"/>
    </xf>
    <xf numFmtId="0" fontId="4" fillId="14" borderId="39" xfId="0" applyFont="1" applyFill="1" applyBorder="1" applyAlignment="1">
      <alignment horizontal="center"/>
    </xf>
    <xf numFmtId="0" fontId="4" fillId="14" borderId="31" xfId="0" applyFont="1" applyFill="1" applyBorder="1" applyAlignment="1">
      <alignment horizontal="center"/>
    </xf>
    <xf numFmtId="0" fontId="0" fillId="14" borderId="57" xfId="0" applyFill="1" applyBorder="1" applyAlignment="1">
      <alignment horizontal="center"/>
    </xf>
    <xf numFmtId="0" fontId="0" fillId="14" borderId="53" xfId="0" applyFill="1" applyBorder="1" applyAlignment="1">
      <alignment horizontal="center"/>
    </xf>
    <xf numFmtId="0" fontId="4" fillId="14" borderId="53" xfId="0" applyFont="1" applyFill="1" applyBorder="1" applyAlignment="1">
      <alignment horizontal="center"/>
    </xf>
    <xf numFmtId="0" fontId="4" fillId="14" borderId="54" xfId="0" applyFont="1" applyFill="1" applyBorder="1" applyAlignment="1">
      <alignment horizontal="center"/>
    </xf>
    <xf numFmtId="0" fontId="5" fillId="14" borderId="39" xfId="0" applyFont="1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178" fontId="0" fillId="3" borderId="28" xfId="0" applyNumberFormat="1" applyFill="1" applyBorder="1" applyAlignment="1">
      <alignment horizontal="center"/>
    </xf>
    <xf numFmtId="178" fontId="0" fillId="3" borderId="22" xfId="0" applyNumberFormat="1" applyFill="1" applyBorder="1" applyAlignment="1">
      <alignment horizontal="center"/>
    </xf>
    <xf numFmtId="178" fontId="0" fillId="3" borderId="19" xfId="0" applyNumberFormat="1" applyFill="1" applyBorder="1" applyAlignment="1">
      <alignment horizontal="center"/>
    </xf>
    <xf numFmtId="179" fontId="0" fillId="3" borderId="19" xfId="0" applyNumberFormat="1" applyFill="1" applyBorder="1" applyAlignment="1">
      <alignment horizontal="center"/>
    </xf>
    <xf numFmtId="178" fontId="15" fillId="3" borderId="22" xfId="0" applyNumberFormat="1" applyFont="1" applyFill="1" applyBorder="1" applyAlignment="1">
      <alignment horizontal="center"/>
    </xf>
    <xf numFmtId="9" fontId="3" fillId="3" borderId="22" xfId="1" applyFont="1" applyFill="1" applyBorder="1" applyAlignment="1">
      <alignment horizontal="center"/>
    </xf>
    <xf numFmtId="0" fontId="10" fillId="12" borderId="29" xfId="0" quotePrefix="1" applyFont="1" applyFill="1" applyBorder="1" applyAlignment="1">
      <alignment horizontal="center"/>
    </xf>
    <xf numFmtId="2" fontId="0" fillId="3" borderId="17" xfId="0" applyNumberFormat="1" applyFill="1" applyBorder="1" applyAlignment="1">
      <alignment horizontal="center"/>
    </xf>
    <xf numFmtId="2" fontId="0" fillId="3" borderId="18" xfId="0" applyNumberFormat="1" applyFill="1" applyBorder="1" applyAlignment="1">
      <alignment horizontal="center"/>
    </xf>
    <xf numFmtId="2" fontId="0" fillId="3" borderId="19" xfId="0" applyNumberFormat="1" applyFill="1" applyBorder="1" applyAlignment="1">
      <alignment horizontal="center"/>
    </xf>
    <xf numFmtId="0" fontId="0" fillId="3" borderId="80" xfId="0" applyFill="1" applyBorder="1" applyAlignment="1">
      <alignment horizontal="center"/>
    </xf>
    <xf numFmtId="9" fontId="0" fillId="3" borderId="81" xfId="0" applyNumberFormat="1" applyFill="1" applyBorder="1" applyAlignment="1">
      <alignment horizontal="center"/>
    </xf>
    <xf numFmtId="0" fontId="7" fillId="3" borderId="79" xfId="0" applyFont="1" applyFill="1" applyBorder="1" applyAlignment="1">
      <alignment horizontal="center"/>
    </xf>
    <xf numFmtId="180" fontId="0" fillId="3" borderId="80" xfId="0" applyNumberFormat="1" applyFill="1" applyBorder="1" applyAlignment="1">
      <alignment horizontal="center"/>
    </xf>
    <xf numFmtId="0" fontId="10" fillId="3" borderId="86" xfId="0" applyFont="1" applyFill="1" applyBorder="1" applyAlignment="1">
      <alignment horizontal="center"/>
    </xf>
    <xf numFmtId="0" fontId="10" fillId="3" borderId="53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center"/>
    </xf>
    <xf numFmtId="0" fontId="10" fillId="3" borderId="39" xfId="0" applyFont="1" applyFill="1" applyBorder="1" applyAlignment="1">
      <alignment horizontal="center"/>
    </xf>
    <xf numFmtId="0" fontId="4" fillId="3" borderId="39" xfId="0" applyFont="1" applyFill="1" applyBorder="1" applyAlignment="1">
      <alignment horizontal="center"/>
    </xf>
    <xf numFmtId="0" fontId="4" fillId="3" borderId="31" xfId="0" applyFont="1" applyFill="1" applyBorder="1" applyAlignment="1">
      <alignment horizontal="center"/>
    </xf>
    <xf numFmtId="0" fontId="10" fillId="3" borderId="31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88" xfId="0" applyFill="1" applyBorder="1" applyAlignment="1">
      <alignment horizontal="center"/>
    </xf>
    <xf numFmtId="0" fontId="0" fillId="3" borderId="92" xfId="0" applyFill="1" applyBorder="1"/>
    <xf numFmtId="0" fontId="5" fillId="3" borderId="53" xfId="0" applyFont="1" applyFill="1" applyBorder="1" applyAlignment="1">
      <alignment horizontal="center"/>
    </xf>
    <xf numFmtId="0" fontId="5" fillId="3" borderId="54" xfId="0" applyFont="1" applyFill="1" applyBorder="1" applyAlignment="1">
      <alignment horizontal="center"/>
    </xf>
    <xf numFmtId="0" fontId="2" fillId="19" borderId="32" xfId="0" applyFont="1" applyFill="1" applyBorder="1" applyAlignment="1">
      <alignment horizontal="center"/>
    </xf>
    <xf numFmtId="0" fontId="2" fillId="19" borderId="38" xfId="0" applyFont="1" applyFill="1" applyBorder="1" applyAlignment="1">
      <alignment horizontal="center"/>
    </xf>
    <xf numFmtId="0" fontId="2" fillId="19" borderId="33" xfId="0" applyFont="1" applyFill="1" applyBorder="1" applyAlignment="1">
      <alignment horizontal="center"/>
    </xf>
    <xf numFmtId="0" fontId="2" fillId="19" borderId="18" xfId="0" applyFont="1" applyFill="1" applyBorder="1" applyAlignment="1">
      <alignment horizontal="center"/>
    </xf>
    <xf numFmtId="0" fontId="2" fillId="19" borderId="19" xfId="0" applyFont="1" applyFill="1" applyBorder="1" applyAlignment="1">
      <alignment horizontal="center"/>
    </xf>
    <xf numFmtId="0" fontId="2" fillId="19" borderId="21" xfId="0" applyFont="1" applyFill="1" applyBorder="1" applyAlignment="1">
      <alignment horizontal="center"/>
    </xf>
    <xf numFmtId="0" fontId="2" fillId="19" borderId="22" xfId="0" applyFont="1" applyFill="1" applyBorder="1" applyAlignment="1">
      <alignment horizontal="center"/>
    </xf>
    <xf numFmtId="0" fontId="10" fillId="7" borderId="29" xfId="0" applyFont="1" applyFill="1" applyBorder="1" applyAlignment="1">
      <alignment horizontal="center" wrapText="1"/>
    </xf>
    <xf numFmtId="0" fontId="10" fillId="7" borderId="32" xfId="0" applyFont="1" applyFill="1" applyBorder="1" applyAlignment="1">
      <alignment horizontal="center"/>
    </xf>
    <xf numFmtId="0" fontId="10" fillId="10" borderId="30" xfId="0" applyFont="1" applyFill="1" applyBorder="1" applyAlignment="1">
      <alignment horizontal="center"/>
    </xf>
    <xf numFmtId="9" fontId="2" fillId="19" borderId="19" xfId="0" applyNumberFormat="1" applyFont="1" applyFill="1" applyBorder="1" applyAlignment="1">
      <alignment horizontal="center"/>
    </xf>
    <xf numFmtId="0" fontId="2" fillId="19" borderId="94" xfId="0" applyFont="1" applyFill="1" applyBorder="1" applyAlignment="1">
      <alignment horizontal="center"/>
    </xf>
    <xf numFmtId="0" fontId="2" fillId="19" borderId="95" xfId="0" applyFont="1" applyFill="1" applyBorder="1" applyAlignment="1">
      <alignment horizontal="center"/>
    </xf>
    <xf numFmtId="0" fontId="2" fillId="19" borderId="96" xfId="0" applyFont="1" applyFill="1" applyBorder="1" applyAlignment="1">
      <alignment horizontal="center"/>
    </xf>
    <xf numFmtId="9" fontId="2" fillId="19" borderId="94" xfId="0" applyNumberFormat="1" applyFont="1" applyFill="1" applyBorder="1" applyAlignment="1">
      <alignment horizontal="center"/>
    </xf>
    <xf numFmtId="9" fontId="2" fillId="19" borderId="95" xfId="0" applyNumberFormat="1" applyFont="1" applyFill="1" applyBorder="1" applyAlignment="1">
      <alignment horizontal="center"/>
    </xf>
    <xf numFmtId="9" fontId="2" fillId="19" borderId="96" xfId="0" applyNumberFormat="1" applyFont="1" applyFill="1" applyBorder="1" applyAlignment="1">
      <alignment horizontal="center"/>
    </xf>
    <xf numFmtId="0" fontId="5" fillId="3" borderId="93" xfId="0" applyFont="1" applyFill="1" applyBorder="1" applyAlignment="1">
      <alignment horizontal="center"/>
    </xf>
    <xf numFmtId="0" fontId="5" fillId="3" borderId="80" xfId="0" applyFont="1" applyFill="1" applyBorder="1" applyAlignment="1">
      <alignment horizontal="center"/>
    </xf>
    <xf numFmtId="0" fontId="5" fillId="3" borderId="81" xfId="0" applyFont="1" applyFill="1" applyBorder="1" applyAlignment="1">
      <alignment horizontal="center"/>
    </xf>
    <xf numFmtId="9" fontId="5" fillId="3" borderId="93" xfId="0" applyNumberFormat="1" applyFont="1" applyFill="1" applyBorder="1" applyAlignment="1">
      <alignment horizontal="center"/>
    </xf>
    <xf numFmtId="9" fontId="5" fillId="3" borderId="80" xfId="0" applyNumberFormat="1" applyFont="1" applyFill="1" applyBorder="1" applyAlignment="1">
      <alignment horizontal="center"/>
    </xf>
    <xf numFmtId="9" fontId="5" fillId="3" borderId="81" xfId="0" applyNumberFormat="1" applyFont="1" applyFill="1" applyBorder="1" applyAlignment="1">
      <alignment horizontal="center"/>
    </xf>
    <xf numFmtId="0" fontId="5" fillId="3" borderId="80" xfId="0" applyNumberFormat="1" applyFont="1" applyFill="1" applyBorder="1" applyAlignment="1">
      <alignment horizontal="center"/>
    </xf>
    <xf numFmtId="0" fontId="5" fillId="3" borderId="81" xfId="0" applyNumberFormat="1" applyFont="1" applyFill="1" applyBorder="1" applyAlignment="1">
      <alignment horizontal="center"/>
    </xf>
    <xf numFmtId="0" fontId="2" fillId="19" borderId="98" xfId="0" applyFont="1" applyFill="1" applyBorder="1" applyAlignment="1">
      <alignment horizontal="center"/>
    </xf>
    <xf numFmtId="0" fontId="2" fillId="19" borderId="95" xfId="0" applyNumberFormat="1" applyFont="1" applyFill="1" applyBorder="1" applyAlignment="1">
      <alignment horizontal="center"/>
    </xf>
    <xf numFmtId="0" fontId="2" fillId="19" borderId="96" xfId="0" applyNumberFormat="1" applyFont="1" applyFill="1" applyBorder="1" applyAlignment="1">
      <alignment horizontal="center"/>
    </xf>
    <xf numFmtId="9" fontId="0" fillId="3" borderId="11" xfId="0" applyNumberFormat="1" applyFill="1" applyBorder="1" applyAlignment="1">
      <alignment horizontal="center"/>
    </xf>
    <xf numFmtId="0" fontId="10" fillId="12" borderId="99" xfId="0" applyFont="1" applyFill="1" applyBorder="1" applyAlignment="1">
      <alignment horizontal="center"/>
    </xf>
    <xf numFmtId="0" fontId="8" fillId="17" borderId="99" xfId="0" applyFont="1" applyFill="1" applyBorder="1" applyAlignment="1">
      <alignment horizontal="center" vertical="center"/>
    </xf>
    <xf numFmtId="0" fontId="8" fillId="20" borderId="99" xfId="0" applyFont="1" applyFill="1" applyBorder="1" applyAlignment="1">
      <alignment horizontal="center" vertical="center"/>
    </xf>
    <xf numFmtId="1" fontId="0" fillId="3" borderId="100" xfId="0" applyNumberFormat="1" applyFill="1" applyBorder="1" applyAlignment="1">
      <alignment horizontal="center"/>
    </xf>
    <xf numFmtId="0" fontId="17" fillId="19" borderId="98" xfId="0" applyFont="1" applyFill="1" applyBorder="1" applyAlignment="1">
      <alignment horizontal="center"/>
    </xf>
    <xf numFmtId="180" fontId="2" fillId="19" borderId="95" xfId="0" applyNumberFormat="1" applyFont="1" applyFill="1" applyBorder="1" applyAlignment="1">
      <alignment horizontal="center"/>
    </xf>
    <xf numFmtId="1" fontId="2" fillId="19" borderId="18" xfId="0" applyNumberFormat="1" applyFont="1" applyFill="1" applyBorder="1" applyAlignment="1">
      <alignment horizontal="center"/>
    </xf>
    <xf numFmtId="1" fontId="2" fillId="19" borderId="38" xfId="0" applyNumberFormat="1" applyFont="1" applyFill="1" applyBorder="1" applyAlignment="1">
      <alignment horizontal="center"/>
    </xf>
    <xf numFmtId="9" fontId="2" fillId="19" borderId="33" xfId="0" applyNumberFormat="1" applyFont="1" applyFill="1" applyBorder="1" applyAlignment="1">
      <alignment horizontal="center"/>
    </xf>
    <xf numFmtId="0" fontId="10" fillId="12" borderId="30" xfId="0" applyFont="1" applyFill="1" applyBorder="1" applyAlignment="1">
      <alignment horizontal="center"/>
    </xf>
    <xf numFmtId="1" fontId="2" fillId="19" borderId="39" xfId="0" applyNumberFormat="1" applyFont="1" applyFill="1" applyBorder="1" applyAlignment="1">
      <alignment horizontal="center"/>
    </xf>
    <xf numFmtId="9" fontId="2" fillId="19" borderId="31" xfId="0" applyNumberFormat="1" applyFont="1" applyFill="1" applyBorder="1" applyAlignment="1">
      <alignment horizontal="center"/>
    </xf>
    <xf numFmtId="0" fontId="5" fillId="12" borderId="82" xfId="0" applyFont="1" applyFill="1" applyBorder="1" applyAlignment="1">
      <alignment horizontal="center" vertical="center"/>
    </xf>
    <xf numFmtId="0" fontId="5" fillId="12" borderId="83" xfId="0" applyFont="1" applyFill="1" applyBorder="1" applyAlignment="1">
      <alignment horizontal="center" vertical="center"/>
    </xf>
    <xf numFmtId="0" fontId="5" fillId="12" borderId="84" xfId="0" applyFont="1" applyFill="1" applyBorder="1" applyAlignment="1">
      <alignment horizontal="center" vertical="center"/>
    </xf>
    <xf numFmtId="9" fontId="0" fillId="3" borderId="31" xfId="0" applyNumberFormat="1" applyFill="1" applyBorder="1" applyAlignment="1">
      <alignment horizontal="center"/>
    </xf>
    <xf numFmtId="0" fontId="5" fillId="3" borderId="100" xfId="0" applyFont="1" applyFill="1" applyBorder="1" applyAlignment="1">
      <alignment horizontal="center" vertical="center"/>
    </xf>
    <xf numFmtId="0" fontId="5" fillId="3" borderId="97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/>
    </xf>
    <xf numFmtId="0" fontId="0" fillId="12" borderId="42" xfId="0" applyFill="1" applyBorder="1" applyAlignment="1">
      <alignment horizontal="center"/>
    </xf>
    <xf numFmtId="176" fontId="0" fillId="18" borderId="0" xfId="0" applyNumberFormat="1" applyFill="1"/>
    <xf numFmtId="176" fontId="0" fillId="13" borderId="0" xfId="0" applyNumberFormat="1" applyFill="1"/>
    <xf numFmtId="0" fontId="0" fillId="13" borderId="0" xfId="0" applyNumberFormat="1" applyFill="1"/>
    <xf numFmtId="0" fontId="0" fillId="18" borderId="0" xfId="0" applyNumberFormat="1" applyFill="1"/>
    <xf numFmtId="0" fontId="19" fillId="3" borderId="18" xfId="0" applyFont="1" applyFill="1" applyBorder="1" applyAlignment="1">
      <alignment horizontal="center"/>
    </xf>
    <xf numFmtId="0" fontId="20" fillId="3" borderId="15" xfId="0" applyFont="1" applyFill="1" applyBorder="1" applyAlignment="1">
      <alignment horizontal="center"/>
    </xf>
    <xf numFmtId="0" fontId="0" fillId="12" borderId="101" xfId="0" applyFill="1" applyBorder="1" applyAlignment="1">
      <alignment horizontal="center" wrapText="1"/>
    </xf>
    <xf numFmtId="1" fontId="2" fillId="3" borderId="22" xfId="0" applyNumberFormat="1" applyFont="1" applyFill="1" applyBorder="1" applyAlignment="1">
      <alignment horizontal="center"/>
    </xf>
    <xf numFmtId="176" fontId="2" fillId="19" borderId="95" xfId="0" applyNumberFormat="1" applyFont="1" applyFill="1" applyBorder="1" applyAlignment="1">
      <alignment horizontal="center"/>
    </xf>
    <xf numFmtId="176" fontId="5" fillId="3" borderId="80" xfId="0" applyNumberFormat="1" applyFont="1" applyFill="1" applyBorder="1" applyAlignment="1">
      <alignment horizontal="center"/>
    </xf>
    <xf numFmtId="181" fontId="2" fillId="19" borderId="95" xfId="0" applyNumberFormat="1" applyFont="1" applyFill="1" applyBorder="1" applyAlignment="1">
      <alignment horizontal="center"/>
    </xf>
    <xf numFmtId="181" fontId="0" fillId="3" borderId="80" xfId="0" applyNumberFormat="1" applyFill="1" applyBorder="1" applyAlignment="1">
      <alignment horizontal="center"/>
    </xf>
    <xf numFmtId="181" fontId="3" fillId="3" borderId="28" xfId="0" applyNumberFormat="1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/>
    </xf>
    <xf numFmtId="0" fontId="9" fillId="6" borderId="10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8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/>
    </xf>
    <xf numFmtId="0" fontId="10" fillId="8" borderId="10" xfId="0" applyFont="1" applyFill="1" applyBorder="1" applyAlignment="1">
      <alignment horizontal="center"/>
    </xf>
    <xf numFmtId="0" fontId="10" fillId="8" borderId="1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25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0" fillId="3" borderId="89" xfId="0" applyFill="1" applyBorder="1" applyAlignment="1">
      <alignment horizontal="center" vertical="center"/>
    </xf>
    <xf numFmtId="0" fontId="0" fillId="3" borderId="90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10" fillId="3" borderId="24" xfId="0" applyFont="1" applyFill="1" applyBorder="1" applyAlignment="1">
      <alignment horizontal="center"/>
    </xf>
    <xf numFmtId="0" fontId="10" fillId="3" borderId="17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13" fillId="11" borderId="34" xfId="0" applyFont="1" applyFill="1" applyBorder="1" applyAlignment="1">
      <alignment horizontal="left" wrapText="1"/>
    </xf>
    <xf numFmtId="0" fontId="13" fillId="11" borderId="35" xfId="0" applyFont="1" applyFill="1" applyBorder="1" applyAlignment="1">
      <alignment horizontal="left"/>
    </xf>
    <xf numFmtId="0" fontId="13" fillId="11" borderId="36" xfId="0" applyFont="1" applyFill="1" applyBorder="1" applyAlignment="1">
      <alignment horizontal="left"/>
    </xf>
    <xf numFmtId="0" fontId="13" fillId="11" borderId="37" xfId="0" applyFont="1" applyFill="1" applyBorder="1" applyAlignment="1">
      <alignment horizontal="left"/>
    </xf>
    <xf numFmtId="0" fontId="0" fillId="12" borderId="32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12" fillId="11" borderId="43" xfId="0" applyFont="1" applyFill="1" applyBorder="1" applyAlignment="1">
      <alignment horizontal="center"/>
    </xf>
    <xf numFmtId="0" fontId="12" fillId="11" borderId="42" xfId="0" applyFont="1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3" borderId="48" xfId="0" applyFill="1" applyBorder="1" applyAlignment="1">
      <alignment horizontal="center"/>
    </xf>
    <xf numFmtId="0" fontId="13" fillId="11" borderId="61" xfId="0" applyFont="1" applyFill="1" applyBorder="1" applyAlignment="1">
      <alignment horizontal="left" wrapText="1"/>
    </xf>
    <xf numFmtId="0" fontId="13" fillId="11" borderId="75" xfId="0" applyFont="1" applyFill="1" applyBorder="1" applyAlignment="1">
      <alignment horizontal="left"/>
    </xf>
    <xf numFmtId="0" fontId="12" fillId="11" borderId="76" xfId="0" applyFont="1" applyFill="1" applyBorder="1" applyAlignment="1">
      <alignment horizontal="center"/>
    </xf>
    <xf numFmtId="0" fontId="12" fillId="11" borderId="77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 wrapText="1"/>
    </xf>
    <xf numFmtId="0" fontId="12" fillId="11" borderId="8" xfId="0" applyFont="1" applyFill="1" applyBorder="1" applyAlignment="1">
      <alignment horizontal="center" vertical="center" wrapText="1"/>
    </xf>
    <xf numFmtId="0" fontId="13" fillId="15" borderId="51" xfId="0" applyFont="1" applyFill="1" applyBorder="1" applyAlignment="1">
      <alignment horizontal="left" wrapText="1"/>
    </xf>
    <xf numFmtId="0" fontId="13" fillId="15" borderId="60" xfId="0" applyFont="1" applyFill="1" applyBorder="1" applyAlignment="1">
      <alignment horizontal="left"/>
    </xf>
    <xf numFmtId="0" fontId="13" fillId="15" borderId="62" xfId="0" applyFont="1" applyFill="1" applyBorder="1" applyAlignment="1">
      <alignment horizontal="left"/>
    </xf>
    <xf numFmtId="0" fontId="13" fillId="15" borderId="63" xfId="0" applyFont="1" applyFill="1" applyBorder="1" applyAlignment="1">
      <alignment horizontal="left"/>
    </xf>
    <xf numFmtId="0" fontId="12" fillId="15" borderId="67" xfId="0" applyFont="1" applyFill="1" applyBorder="1" applyAlignment="1">
      <alignment horizontal="center"/>
    </xf>
    <xf numFmtId="0" fontId="12" fillId="15" borderId="10" xfId="0" applyFont="1" applyFill="1" applyBorder="1" applyAlignment="1">
      <alignment horizontal="center"/>
    </xf>
    <xf numFmtId="0" fontId="12" fillId="15" borderId="11" xfId="0" applyFont="1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13" fillId="15" borderId="50" xfId="0" applyFont="1" applyFill="1" applyBorder="1" applyAlignment="1">
      <alignment horizontal="left" wrapText="1"/>
    </xf>
    <xf numFmtId="0" fontId="13" fillId="15" borderId="59" xfId="0" applyFont="1" applyFill="1" applyBorder="1" applyAlignment="1">
      <alignment horizontal="left"/>
    </xf>
    <xf numFmtId="0" fontId="13" fillId="15" borderId="60" xfId="0" applyFont="1" applyFill="1" applyBorder="1" applyAlignment="1">
      <alignment horizontal="left" wrapText="1"/>
    </xf>
    <xf numFmtId="0" fontId="13" fillId="15" borderId="62" xfId="0" applyFont="1" applyFill="1" applyBorder="1" applyAlignment="1">
      <alignment horizontal="left" wrapText="1"/>
    </xf>
    <xf numFmtId="0" fontId="13" fillId="15" borderId="63" xfId="0" applyFont="1" applyFill="1" applyBorder="1" applyAlignment="1">
      <alignment horizontal="left" wrapText="1"/>
    </xf>
    <xf numFmtId="0" fontId="0" fillId="14" borderId="55" xfId="0" applyFill="1" applyBorder="1" applyAlignment="1">
      <alignment horizontal="center"/>
    </xf>
    <xf numFmtId="0" fontId="0" fillId="14" borderId="56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0" fontId="18" fillId="15" borderId="64" xfId="0" applyFont="1" applyFill="1" applyBorder="1" applyAlignment="1">
      <alignment horizontal="left" wrapText="1"/>
    </xf>
    <xf numFmtId="0" fontId="18" fillId="15" borderId="70" xfId="0" applyFont="1" applyFill="1" applyBorder="1" applyAlignment="1">
      <alignment horizontal="left" wrapText="1"/>
    </xf>
    <xf numFmtId="0" fontId="18" fillId="15" borderId="65" xfId="0" applyFont="1" applyFill="1" applyBorder="1" applyAlignment="1">
      <alignment horizontal="left" wrapText="1"/>
    </xf>
    <xf numFmtId="0" fontId="18" fillId="15" borderId="71" xfId="0" applyFont="1" applyFill="1" applyBorder="1" applyAlignment="1">
      <alignment horizontal="left" wrapText="1"/>
    </xf>
    <xf numFmtId="0" fontId="0" fillId="14" borderId="25" xfId="0" applyFill="1" applyBorder="1" applyAlignment="1">
      <alignment horizontal="center"/>
    </xf>
    <xf numFmtId="0" fontId="0" fillId="14" borderId="20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8" fillId="15" borderId="62" xfId="0" applyFont="1" applyFill="1" applyBorder="1" applyAlignment="1">
      <alignment horizontal="left" wrapText="1"/>
    </xf>
    <xf numFmtId="0" fontId="18" fillId="15" borderId="63" xfId="0" applyFont="1" applyFill="1" applyBorder="1" applyAlignment="1">
      <alignment horizontal="left"/>
    </xf>
    <xf numFmtId="0" fontId="18" fillId="15" borderId="65" xfId="0" applyFont="1" applyFill="1" applyBorder="1" applyAlignment="1">
      <alignment horizontal="left"/>
    </xf>
    <xf numFmtId="0" fontId="18" fillId="15" borderId="71" xfId="0" applyFont="1" applyFill="1" applyBorder="1" applyAlignment="1">
      <alignment horizontal="left"/>
    </xf>
    <xf numFmtId="0" fontId="12" fillId="15" borderId="78" xfId="0" applyFont="1" applyFill="1" applyBorder="1" applyAlignment="1">
      <alignment horizontal="center" vertical="center"/>
    </xf>
    <xf numFmtId="0" fontId="12" fillId="15" borderId="2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0" fillId="14" borderId="29" xfId="0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18" fillId="15" borderId="51" xfId="0" applyFont="1" applyFill="1" applyBorder="1" applyAlignment="1">
      <alignment horizontal="left" wrapText="1"/>
    </xf>
    <xf numFmtId="0" fontId="18" fillId="15" borderId="60" xfId="0" applyFont="1" applyFill="1" applyBorder="1" applyAlignment="1">
      <alignment horizontal="left"/>
    </xf>
    <xf numFmtId="0" fontId="18" fillId="15" borderId="62" xfId="0" applyFont="1" applyFill="1" applyBorder="1" applyAlignment="1">
      <alignment horizontal="left"/>
    </xf>
    <xf numFmtId="0" fontId="0" fillId="14" borderId="74" xfId="0" applyFill="1" applyBorder="1" applyAlignment="1">
      <alignment horizontal="center"/>
    </xf>
    <xf numFmtId="0" fontId="0" fillId="14" borderId="69" xfId="0" applyFill="1" applyBorder="1" applyAlignment="1">
      <alignment horizontal="center"/>
    </xf>
    <xf numFmtId="0" fontId="0" fillId="14" borderId="30" xfId="0" applyFill="1" applyBorder="1" applyAlignment="1">
      <alignment horizontal="center"/>
    </xf>
    <xf numFmtId="0" fontId="0" fillId="14" borderId="39" xfId="0" applyFill="1" applyBorder="1" applyAlignment="1">
      <alignment horizontal="center"/>
    </xf>
    <xf numFmtId="0" fontId="12" fillId="15" borderId="52" xfId="0" applyFont="1" applyFill="1" applyBorder="1" applyAlignment="1">
      <alignment horizontal="center"/>
    </xf>
    <xf numFmtId="0" fontId="12" fillId="15" borderId="12" xfId="0" applyFont="1" applyFill="1" applyBorder="1" applyAlignment="1">
      <alignment horizontal="center"/>
    </xf>
    <xf numFmtId="0" fontId="18" fillId="15" borderId="50" xfId="0" applyFont="1" applyFill="1" applyBorder="1" applyAlignment="1">
      <alignment horizontal="left" wrapText="1"/>
    </xf>
    <xf numFmtId="0" fontId="18" fillId="15" borderId="59" xfId="0" applyFont="1" applyFill="1" applyBorder="1" applyAlignment="1">
      <alignment horizontal="left"/>
    </xf>
    <xf numFmtId="0" fontId="12" fillId="16" borderId="82" xfId="0" applyNumberFormat="1" applyFont="1" applyFill="1" applyBorder="1" applyAlignment="1">
      <alignment horizontal="center"/>
    </xf>
    <xf numFmtId="0" fontId="12" fillId="16" borderId="83" xfId="0" applyNumberFormat="1" applyFont="1" applyFill="1" applyBorder="1" applyAlignment="1">
      <alignment horizontal="center"/>
    </xf>
    <xf numFmtId="0" fontId="12" fillId="16" borderId="84" xfId="0" applyNumberFormat="1" applyFont="1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0" fillId="17" borderId="27" xfId="0" applyFill="1" applyBorder="1" applyAlignment="1">
      <alignment horizontal="center"/>
    </xf>
    <xf numFmtId="0" fontId="0" fillId="17" borderId="85" xfId="0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12" fillId="16" borderId="2" xfId="0" applyFont="1" applyFill="1" applyBorder="1" applyAlignment="1">
      <alignment horizontal="center"/>
    </xf>
    <xf numFmtId="0" fontId="12" fillId="16" borderId="3" xfId="0" applyFont="1" applyFill="1" applyBorder="1" applyAlignment="1">
      <alignment horizontal="center"/>
    </xf>
    <xf numFmtId="180" fontId="16" fillId="3" borderId="6" xfId="0" applyNumberFormat="1" applyFont="1" applyFill="1" applyBorder="1" applyAlignment="1">
      <alignment horizontal="center"/>
    </xf>
    <xf numFmtId="180" fontId="16" fillId="3" borderId="7" xfId="0" applyNumberFormat="1" applyFont="1" applyFill="1" applyBorder="1" applyAlignment="1">
      <alignment horizontal="center"/>
    </xf>
    <xf numFmtId="180" fontId="16" fillId="3" borderId="8" xfId="0" applyNumberFormat="1" applyFont="1" applyFill="1" applyBorder="1" applyAlignment="1">
      <alignment horizont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FFCC66"/>
      <color rgb="FFFF9B9B"/>
      <color rgb="FFE8F6A4"/>
      <color rgb="FFFFB115"/>
      <color rgb="FFB6DF89"/>
      <color rgb="FF0D97FF"/>
      <color rgb="FF11FF7D"/>
      <color rgb="FFCAC6FE"/>
      <color rgb="FF251AFE"/>
      <color rgb="FFFFDC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28</xdr:row>
          <xdr:rowOff>83820</xdr:rowOff>
        </xdr:from>
        <xdr:to>
          <xdr:col>18</xdr:col>
          <xdr:colOff>30480</xdr:colOff>
          <xdr:row>30</xdr:row>
          <xdr:rowOff>190500</xdr:rowOff>
        </xdr:to>
        <xdr:sp macro="" textlink="">
          <xdr:nvSpPr>
            <xdr:cNvPr id="1025" name="단추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시뮬레이션</a:t>
              </a:r>
              <a:r>
                <a:rPr lang="ko-KR" altLang="en-US" sz="1600" b="0" i="0" u="none" strike="noStrike" baseline="0">
                  <a:solidFill>
                    <a:srgbClr val="000000"/>
                  </a:solidFill>
                  <a:latin typeface="12롯데마트드림Bold"/>
                  <a:ea typeface="맑은 고딕"/>
                </a:rPr>
                <a:t> </a:t>
              </a:r>
              <a:r>
                <a:rPr lang="ko-KR" altLang="en-US" sz="1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25</xdr:row>
          <xdr:rowOff>22860</xdr:rowOff>
        </xdr:from>
        <xdr:to>
          <xdr:col>18</xdr:col>
          <xdr:colOff>7620</xdr:colOff>
          <xdr:row>27</xdr:row>
          <xdr:rowOff>144780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사용방법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504825</xdr:colOff>
      <xdr:row>55</xdr:row>
      <xdr:rowOff>142876</xdr:rowOff>
    </xdr:from>
    <xdr:to>
      <xdr:col>13</xdr:col>
      <xdr:colOff>529224</xdr:colOff>
      <xdr:row>61</xdr:row>
      <xdr:rowOff>200026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763376"/>
          <a:ext cx="2100849" cy="1314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239888</xdr:colOff>
      <xdr:row>49</xdr:row>
      <xdr:rowOff>42334</xdr:rowOff>
    </xdr:from>
    <xdr:to>
      <xdr:col>4</xdr:col>
      <xdr:colOff>585611</xdr:colOff>
      <xdr:row>50</xdr:row>
      <xdr:rowOff>119945</xdr:rowOff>
    </xdr:to>
    <xdr:sp macro="[0]!버튼" textlink="">
      <xdr:nvSpPr>
        <xdr:cNvPr id="4" name="이등변 삼각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 rot="5400000">
          <a:off x="4430889" y="10900833"/>
          <a:ext cx="289278" cy="345723"/>
        </a:xfrm>
        <a:prstGeom prst="triangle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FB993-ED14-4D43-8B29-EF8C7AB867C8}">
  <sheetPr codeName="Sheet8"/>
  <dimension ref="B1:W35"/>
  <sheetViews>
    <sheetView tabSelected="1" topLeftCell="A4" zoomScaleNormal="100" workbookViewId="0">
      <selection activeCell="G37" sqref="G37"/>
    </sheetView>
  </sheetViews>
  <sheetFormatPr defaultColWidth="9" defaultRowHeight="17.399999999999999"/>
  <cols>
    <col min="1" max="1" width="4.69921875" style="1" customWidth="1"/>
    <col min="2" max="2" width="7.59765625" style="1" customWidth="1"/>
    <col min="3" max="3" width="11" style="1" bestFit="1" customWidth="1"/>
    <col min="4" max="4" width="10" style="1" bestFit="1" customWidth="1"/>
    <col min="5" max="5" width="9" style="1"/>
    <col min="6" max="6" width="10.09765625" style="1" customWidth="1"/>
    <col min="7" max="12" width="9" style="1"/>
    <col min="13" max="13" width="9.19921875" style="1" bestFit="1" customWidth="1"/>
    <col min="14" max="14" width="9" style="1"/>
    <col min="15" max="15" width="3.59765625" style="1" customWidth="1"/>
    <col min="16" max="16" width="26.69921875" style="1" customWidth="1"/>
    <col min="17" max="18" width="9.09765625" style="1" customWidth="1"/>
    <col min="19" max="19" width="4.19921875" style="1" customWidth="1"/>
    <col min="20" max="20" width="32.69921875" style="1" bestFit="1" customWidth="1"/>
    <col min="21" max="21" width="12.59765625" style="1" bestFit="1" customWidth="1"/>
    <col min="22" max="22" width="11.09765625" style="1" customWidth="1"/>
    <col min="23" max="16384" width="9" style="1"/>
  </cols>
  <sheetData>
    <row r="1" spans="2:23" ht="18" thickBot="1"/>
    <row r="2" spans="2:23" ht="11.25" customHeight="1">
      <c r="B2" s="213" t="s">
        <v>75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5"/>
      <c r="P2" s="237" t="s">
        <v>78</v>
      </c>
      <c r="Q2" s="238"/>
      <c r="R2" s="239"/>
      <c r="T2" s="228" t="s">
        <v>81</v>
      </c>
      <c r="U2" s="229"/>
      <c r="V2" s="230"/>
      <c r="W2" s="2"/>
    </row>
    <row r="3" spans="2:23" ht="18.75" customHeight="1">
      <c r="B3" s="216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8"/>
      <c r="P3" s="240"/>
      <c r="Q3" s="241"/>
      <c r="R3" s="242"/>
      <c r="T3" s="231"/>
      <c r="U3" s="232"/>
      <c r="V3" s="233"/>
    </row>
    <row r="4" spans="2:23" ht="11.25" customHeight="1" thickBot="1">
      <c r="B4" s="219"/>
      <c r="C4" s="220"/>
      <c r="D4" s="220"/>
      <c r="E4" s="220"/>
      <c r="F4" s="220"/>
      <c r="G4" s="220"/>
      <c r="H4" s="220"/>
      <c r="I4" s="220"/>
      <c r="J4" s="220"/>
      <c r="K4" s="220"/>
      <c r="L4" s="220"/>
      <c r="M4" s="220"/>
      <c r="N4" s="221"/>
      <c r="P4" s="240"/>
      <c r="Q4" s="241"/>
      <c r="R4" s="242"/>
      <c r="T4" s="234"/>
      <c r="U4" s="235"/>
      <c r="V4" s="236"/>
    </row>
    <row r="5" spans="2:23" ht="16.5" customHeight="1" thickBot="1">
      <c r="B5" s="222" t="s">
        <v>123</v>
      </c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4"/>
      <c r="P5" s="180"/>
      <c r="Q5" s="195" t="s">
        <v>114</v>
      </c>
      <c r="R5" s="197" t="s">
        <v>113</v>
      </c>
      <c r="T5" s="191" t="s">
        <v>115</v>
      </c>
      <c r="U5" s="192" t="s">
        <v>116</v>
      </c>
      <c r="V5" s="193" t="s">
        <v>117</v>
      </c>
    </row>
    <row r="6" spans="2:23" ht="18.600000000000001" thickTop="1" thickBot="1">
      <c r="B6" s="147"/>
      <c r="C6" s="140" t="s">
        <v>0</v>
      </c>
      <c r="D6" s="141" t="s">
        <v>1</v>
      </c>
      <c r="E6" s="141" t="s">
        <v>2</v>
      </c>
      <c r="F6" s="141" t="s">
        <v>3</v>
      </c>
      <c r="G6" s="141" t="s">
        <v>8</v>
      </c>
      <c r="H6" s="141" t="s">
        <v>9</v>
      </c>
      <c r="I6" s="141" t="s">
        <v>10</v>
      </c>
      <c r="J6" s="141" t="s">
        <v>11</v>
      </c>
      <c r="K6" s="141" t="s">
        <v>12</v>
      </c>
      <c r="L6" s="141" t="s">
        <v>13</v>
      </c>
      <c r="M6" s="142" t="s">
        <v>45</v>
      </c>
      <c r="N6" s="143" t="s">
        <v>46</v>
      </c>
      <c r="P6" s="8" t="s">
        <v>15</v>
      </c>
      <c r="Q6" s="161">
        <v>10000</v>
      </c>
      <c r="R6" s="167">
        <v>10000</v>
      </c>
      <c r="T6" s="252" t="s">
        <v>113</v>
      </c>
      <c r="U6" s="253"/>
      <c r="V6" s="254"/>
    </row>
    <row r="7" spans="2:23" ht="18" thickTop="1">
      <c r="B7" s="146" t="s">
        <v>111</v>
      </c>
      <c r="C7" s="138">
        <v>10000</v>
      </c>
      <c r="D7" s="139">
        <v>8000</v>
      </c>
      <c r="E7" s="139">
        <v>5000</v>
      </c>
      <c r="F7" s="139">
        <v>3000</v>
      </c>
      <c r="G7" s="139">
        <v>12000</v>
      </c>
      <c r="H7" s="139">
        <v>11000</v>
      </c>
      <c r="I7" s="139">
        <v>11500</v>
      </c>
      <c r="J7" s="139">
        <v>10000</v>
      </c>
      <c r="K7" s="139">
        <v>9000</v>
      </c>
      <c r="L7" s="139">
        <v>8500</v>
      </c>
      <c r="M7" s="148">
        <v>8700</v>
      </c>
      <c r="N7" s="149">
        <v>9000</v>
      </c>
      <c r="P7" s="157" t="s">
        <v>16</v>
      </c>
      <c r="Q7" s="162">
        <v>5</v>
      </c>
      <c r="R7" s="168">
        <v>5</v>
      </c>
      <c r="T7" s="188" t="s">
        <v>27</v>
      </c>
      <c r="U7" s="87">
        <v>10000</v>
      </c>
      <c r="V7" s="194">
        <v>1</v>
      </c>
    </row>
    <row r="8" spans="2:23" ht="18" thickBot="1">
      <c r="B8" s="145" t="s">
        <v>112</v>
      </c>
      <c r="C8" s="150">
        <v>10000</v>
      </c>
      <c r="D8" s="151">
        <v>10000</v>
      </c>
      <c r="E8" s="151">
        <v>5000</v>
      </c>
      <c r="F8" s="151">
        <v>4000</v>
      </c>
      <c r="G8" s="151">
        <v>13000</v>
      </c>
      <c r="H8" s="151">
        <v>11000</v>
      </c>
      <c r="I8" s="151">
        <v>11500</v>
      </c>
      <c r="J8" s="151">
        <v>8700</v>
      </c>
      <c r="K8" s="151">
        <v>9300</v>
      </c>
      <c r="L8" s="151">
        <v>10010</v>
      </c>
      <c r="M8" s="151">
        <v>9000</v>
      </c>
      <c r="N8" s="152">
        <v>9100</v>
      </c>
      <c r="P8" s="158" t="s">
        <v>17</v>
      </c>
      <c r="Q8" s="163">
        <f>Q6*Q7</f>
        <v>50000</v>
      </c>
      <c r="R8" s="169">
        <f>R6*R7</f>
        <v>50000</v>
      </c>
      <c r="T8" s="17" t="s">
        <v>28</v>
      </c>
      <c r="U8" s="35">
        <v>30000</v>
      </c>
      <c r="V8" s="6">
        <v>0.8</v>
      </c>
    </row>
    <row r="9" spans="2:23" ht="18" thickBot="1">
      <c r="B9" s="225" t="s">
        <v>57</v>
      </c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7"/>
      <c r="P9" s="243" t="s">
        <v>80</v>
      </c>
      <c r="Q9" s="244"/>
      <c r="R9" s="245"/>
      <c r="T9" s="17" t="s">
        <v>29</v>
      </c>
      <c r="U9" s="35">
        <v>50000</v>
      </c>
      <c r="V9" s="6">
        <v>0.6</v>
      </c>
    </row>
    <row r="10" spans="2:23" ht="18" thickTop="1">
      <c r="B10" s="147"/>
      <c r="C10" s="140" t="s">
        <v>0</v>
      </c>
      <c r="D10" s="141" t="s">
        <v>1</v>
      </c>
      <c r="E10" s="141" t="s">
        <v>2</v>
      </c>
      <c r="F10" s="141" t="s">
        <v>3</v>
      </c>
      <c r="G10" s="141" t="s">
        <v>8</v>
      </c>
      <c r="H10" s="141" t="s">
        <v>9</v>
      </c>
      <c r="I10" s="141" t="s">
        <v>10</v>
      </c>
      <c r="J10" s="141" t="s">
        <v>11</v>
      </c>
      <c r="K10" s="141" t="s">
        <v>12</v>
      </c>
      <c r="L10" s="141" t="s">
        <v>13</v>
      </c>
      <c r="M10" s="142" t="s">
        <v>45</v>
      </c>
      <c r="N10" s="143" t="s">
        <v>46</v>
      </c>
      <c r="P10" s="8" t="s">
        <v>18</v>
      </c>
      <c r="Q10" s="164">
        <v>0.4</v>
      </c>
      <c r="R10" s="170">
        <v>0.4</v>
      </c>
      <c r="T10" s="17" t="s">
        <v>30</v>
      </c>
      <c r="U10" s="35">
        <v>70000</v>
      </c>
      <c r="V10" s="6">
        <v>0.4</v>
      </c>
    </row>
    <row r="11" spans="2:23" ht="18" thickBot="1">
      <c r="B11" s="146" t="s">
        <v>111</v>
      </c>
      <c r="C11" s="138">
        <v>300000</v>
      </c>
      <c r="D11" s="139">
        <v>250000</v>
      </c>
      <c r="E11" s="139">
        <v>200000</v>
      </c>
      <c r="F11" s="139">
        <v>250000</v>
      </c>
      <c r="G11" s="139">
        <v>50000</v>
      </c>
      <c r="H11" s="139">
        <v>60000</v>
      </c>
      <c r="I11" s="139">
        <v>80000</v>
      </c>
      <c r="J11" s="139">
        <v>50000</v>
      </c>
      <c r="K11" s="139">
        <v>35000</v>
      </c>
      <c r="L11" s="139">
        <v>40000</v>
      </c>
      <c r="M11" s="148">
        <v>100000</v>
      </c>
      <c r="N11" s="149">
        <v>80000</v>
      </c>
      <c r="P11" s="7" t="s">
        <v>19</v>
      </c>
      <c r="Q11" s="165">
        <v>0.35</v>
      </c>
      <c r="R11" s="171">
        <v>0.35</v>
      </c>
      <c r="T11" s="18" t="s">
        <v>31</v>
      </c>
      <c r="U11" s="37">
        <v>100000</v>
      </c>
      <c r="V11" s="16">
        <v>0.2</v>
      </c>
    </row>
    <row r="12" spans="2:23" ht="18" thickBot="1">
      <c r="B12" s="145" t="s">
        <v>112</v>
      </c>
      <c r="C12" s="150">
        <v>300000</v>
      </c>
      <c r="D12" s="151">
        <v>250000</v>
      </c>
      <c r="E12" s="151">
        <v>230000</v>
      </c>
      <c r="F12" s="151">
        <v>250000</v>
      </c>
      <c r="G12" s="151">
        <v>50000</v>
      </c>
      <c r="H12" s="151">
        <v>60000</v>
      </c>
      <c r="I12" s="151">
        <v>80000</v>
      </c>
      <c r="J12" s="151">
        <v>50000</v>
      </c>
      <c r="K12" s="151">
        <v>34000</v>
      </c>
      <c r="L12" s="151">
        <v>40000</v>
      </c>
      <c r="M12" s="151">
        <v>110000</v>
      </c>
      <c r="N12" s="152">
        <v>78000</v>
      </c>
      <c r="P12" s="7" t="s">
        <v>76</v>
      </c>
      <c r="Q12" s="165">
        <v>0.15</v>
      </c>
      <c r="R12" s="171">
        <v>0.15</v>
      </c>
      <c r="T12" s="252" t="s">
        <v>114</v>
      </c>
      <c r="U12" s="253"/>
      <c r="V12" s="254"/>
    </row>
    <row r="13" spans="2:23" ht="18.600000000000001" thickTop="1" thickBot="1">
      <c r="B13" s="225" t="s">
        <v>73</v>
      </c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7"/>
      <c r="P13" s="9" t="s">
        <v>77</v>
      </c>
      <c r="Q13" s="166">
        <v>0.1</v>
      </c>
      <c r="R13" s="172">
        <v>0.1</v>
      </c>
      <c r="T13" s="188" t="s">
        <v>27</v>
      </c>
      <c r="U13" s="189">
        <v>10000</v>
      </c>
      <c r="V13" s="190">
        <v>1</v>
      </c>
    </row>
    <row r="14" spans="2:23" ht="18.600000000000001" thickTop="1" thickBot="1">
      <c r="B14" s="147"/>
      <c r="C14" s="140" t="s">
        <v>0</v>
      </c>
      <c r="D14" s="141" t="s">
        <v>1</v>
      </c>
      <c r="E14" s="141" t="s">
        <v>2</v>
      </c>
      <c r="F14" s="141" t="s">
        <v>3</v>
      </c>
      <c r="G14" s="141" t="s">
        <v>8</v>
      </c>
      <c r="H14" s="141" t="s">
        <v>9</v>
      </c>
      <c r="I14" s="141" t="s">
        <v>10</v>
      </c>
      <c r="J14" s="141" t="s">
        <v>11</v>
      </c>
      <c r="K14" s="141" t="s">
        <v>12</v>
      </c>
      <c r="L14" s="141" t="s">
        <v>13</v>
      </c>
      <c r="M14" s="142" t="s">
        <v>45</v>
      </c>
      <c r="N14" s="143" t="s">
        <v>46</v>
      </c>
      <c r="T14" s="17" t="s">
        <v>28</v>
      </c>
      <c r="U14" s="185">
        <v>30000</v>
      </c>
      <c r="V14" s="160">
        <v>0.8</v>
      </c>
    </row>
    <row r="15" spans="2:23" ht="15.75" customHeight="1">
      <c r="B15" s="146" t="s">
        <v>111</v>
      </c>
      <c r="C15" s="138">
        <v>4.5</v>
      </c>
      <c r="D15" s="139">
        <v>2.5</v>
      </c>
      <c r="E15" s="139">
        <v>2</v>
      </c>
      <c r="F15" s="139">
        <v>0.4</v>
      </c>
      <c r="G15" s="139">
        <v>1.4</v>
      </c>
      <c r="H15" s="139">
        <v>1.7</v>
      </c>
      <c r="I15" s="139">
        <v>1.3</v>
      </c>
      <c r="J15" s="139">
        <v>1.2</v>
      </c>
      <c r="K15" s="139">
        <v>1.8</v>
      </c>
      <c r="L15" s="139">
        <v>2</v>
      </c>
      <c r="M15" s="148">
        <v>1.5</v>
      </c>
      <c r="N15" s="149">
        <v>2.1</v>
      </c>
      <c r="P15" s="246" t="s">
        <v>79</v>
      </c>
      <c r="Q15" s="247"/>
      <c r="R15" s="248"/>
      <c r="T15" s="17" t="s">
        <v>29</v>
      </c>
      <c r="U15" s="185">
        <v>50000</v>
      </c>
      <c r="V15" s="160">
        <v>0.6</v>
      </c>
    </row>
    <row r="16" spans="2:23" ht="18" thickBot="1">
      <c r="B16" s="145" t="s">
        <v>112</v>
      </c>
      <c r="C16" s="150">
        <v>4.5</v>
      </c>
      <c r="D16" s="151">
        <v>2.5</v>
      </c>
      <c r="E16" s="151">
        <v>2</v>
      </c>
      <c r="F16" s="151">
        <v>0.4</v>
      </c>
      <c r="G16" s="151">
        <v>1.4</v>
      </c>
      <c r="H16" s="151">
        <v>1.7</v>
      </c>
      <c r="I16" s="151">
        <v>1.3</v>
      </c>
      <c r="J16" s="151">
        <v>1.2</v>
      </c>
      <c r="K16" s="151">
        <v>1.8</v>
      </c>
      <c r="L16" s="151">
        <v>2</v>
      </c>
      <c r="M16" s="151">
        <v>1.5</v>
      </c>
      <c r="N16" s="152">
        <v>2.1</v>
      </c>
      <c r="P16" s="249"/>
      <c r="Q16" s="250"/>
      <c r="R16" s="251"/>
      <c r="T16" s="17" t="s">
        <v>30</v>
      </c>
      <c r="U16" s="185">
        <v>70000</v>
      </c>
      <c r="V16" s="160">
        <v>0.4</v>
      </c>
    </row>
    <row r="17" spans="2:22" ht="17.25" customHeight="1" thickBot="1">
      <c r="B17" s="225" t="s">
        <v>74</v>
      </c>
      <c r="C17" s="226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7"/>
      <c r="P17" s="181"/>
      <c r="Q17" s="195" t="s">
        <v>114</v>
      </c>
      <c r="R17" s="196" t="s">
        <v>113</v>
      </c>
      <c r="T17" s="18" t="s">
        <v>31</v>
      </c>
      <c r="U17" s="186">
        <v>100000</v>
      </c>
      <c r="V17" s="187">
        <v>0.2</v>
      </c>
    </row>
    <row r="18" spans="2:22" ht="18.600000000000001" thickTop="1" thickBot="1">
      <c r="B18" s="147"/>
      <c r="C18" s="140" t="s">
        <v>0</v>
      </c>
      <c r="D18" s="141" t="s">
        <v>1</v>
      </c>
      <c r="E18" s="141" t="s">
        <v>2</v>
      </c>
      <c r="F18" s="141" t="s">
        <v>3</v>
      </c>
      <c r="G18" s="141" t="s">
        <v>8</v>
      </c>
      <c r="H18" s="141" t="s">
        <v>9</v>
      </c>
      <c r="I18" s="141" t="s">
        <v>10</v>
      </c>
      <c r="J18" s="141" t="s">
        <v>11</v>
      </c>
      <c r="K18" s="141" t="s">
        <v>12</v>
      </c>
      <c r="L18" s="141" t="s">
        <v>13</v>
      </c>
      <c r="M18" s="142" t="s">
        <v>45</v>
      </c>
      <c r="N18" s="143" t="s">
        <v>46</v>
      </c>
      <c r="P18" s="159" t="s">
        <v>23</v>
      </c>
      <c r="Q18" s="175">
        <v>10000</v>
      </c>
      <c r="R18" s="167">
        <v>10000</v>
      </c>
      <c r="T18" s="179"/>
      <c r="U18" s="182" t="s">
        <v>114</v>
      </c>
      <c r="V18" s="178" t="s">
        <v>113</v>
      </c>
    </row>
    <row r="19" spans="2:22" ht="18" thickTop="1">
      <c r="B19" s="146" t="s">
        <v>111</v>
      </c>
      <c r="C19" s="138">
        <v>1.6</v>
      </c>
      <c r="D19" s="139">
        <v>1.3</v>
      </c>
      <c r="E19" s="139">
        <v>0.5</v>
      </c>
      <c r="F19" s="139">
        <v>0.3</v>
      </c>
      <c r="G19" s="139">
        <v>1.2</v>
      </c>
      <c r="H19" s="139">
        <v>0.7</v>
      </c>
      <c r="I19" s="139">
        <v>0.8</v>
      </c>
      <c r="J19" s="139">
        <v>0.9</v>
      </c>
      <c r="K19" s="139">
        <v>1.2</v>
      </c>
      <c r="L19" s="139">
        <v>1.3</v>
      </c>
      <c r="M19" s="148">
        <v>4</v>
      </c>
      <c r="N19" s="149">
        <v>4</v>
      </c>
      <c r="P19" s="10" t="s">
        <v>24</v>
      </c>
      <c r="Q19" s="165">
        <v>0.5</v>
      </c>
      <c r="R19" s="171">
        <v>0.5</v>
      </c>
      <c r="T19" s="19" t="s">
        <v>35</v>
      </c>
      <c r="U19" s="183">
        <v>1000</v>
      </c>
      <c r="V19" s="136">
        <v>1000</v>
      </c>
    </row>
    <row r="20" spans="2:22" ht="18" thickBot="1">
      <c r="B20" s="145" t="s">
        <v>112</v>
      </c>
      <c r="C20" s="150">
        <v>1.6</v>
      </c>
      <c r="D20" s="151">
        <v>1.3</v>
      </c>
      <c r="E20" s="151">
        <v>0.5</v>
      </c>
      <c r="F20" s="151">
        <v>0.3</v>
      </c>
      <c r="G20" s="151">
        <v>1.2</v>
      </c>
      <c r="H20" s="151">
        <v>0.7</v>
      </c>
      <c r="I20" s="151">
        <v>0.8</v>
      </c>
      <c r="J20" s="151">
        <v>0.9</v>
      </c>
      <c r="K20" s="151">
        <v>1.2</v>
      </c>
      <c r="L20" s="151">
        <v>1.3</v>
      </c>
      <c r="M20" s="151">
        <v>4</v>
      </c>
      <c r="N20" s="152">
        <v>4</v>
      </c>
      <c r="P20" s="10" t="s">
        <v>41</v>
      </c>
      <c r="Q20" s="208">
        <v>5.0000000000000001E-3</v>
      </c>
      <c r="R20" s="209">
        <v>5.0000000000000001E-3</v>
      </c>
      <c r="T20" s="17" t="s">
        <v>36</v>
      </c>
      <c r="U20" s="162">
        <v>5</v>
      </c>
      <c r="V20" s="134">
        <v>5</v>
      </c>
    </row>
    <row r="21" spans="2:22" ht="18" thickBot="1">
      <c r="B21" s="225" t="s">
        <v>14</v>
      </c>
      <c r="C21" s="226"/>
      <c r="D21" s="226"/>
      <c r="E21" s="226"/>
      <c r="F21" s="226"/>
      <c r="G21" s="226"/>
      <c r="H21" s="226"/>
      <c r="I21" s="226"/>
      <c r="J21" s="226"/>
      <c r="K21" s="226"/>
      <c r="L21" s="226"/>
      <c r="M21" s="226"/>
      <c r="N21" s="227"/>
      <c r="P21" s="10" t="s">
        <v>42</v>
      </c>
      <c r="Q21" s="176">
        <v>5</v>
      </c>
      <c r="R21" s="173">
        <v>5</v>
      </c>
      <c r="T21" s="17" t="s">
        <v>92</v>
      </c>
      <c r="U21" s="162">
        <v>2.1</v>
      </c>
      <c r="V21" s="134">
        <v>2.1</v>
      </c>
    </row>
    <row r="22" spans="2:22" ht="18" thickTop="1">
      <c r="B22" s="257" t="s">
        <v>111</v>
      </c>
      <c r="C22" s="261"/>
      <c r="D22" s="262"/>
      <c r="E22" s="141" t="s">
        <v>0</v>
      </c>
      <c r="F22" s="141" t="s">
        <v>1</v>
      </c>
      <c r="G22" s="141" t="s">
        <v>2</v>
      </c>
      <c r="H22" s="141" t="s">
        <v>3</v>
      </c>
      <c r="I22" s="141" t="s">
        <v>8</v>
      </c>
      <c r="J22" s="141" t="s">
        <v>9</v>
      </c>
      <c r="K22" s="141" t="s">
        <v>10</v>
      </c>
      <c r="L22" s="141" t="s">
        <v>11</v>
      </c>
      <c r="M22" s="141" t="s">
        <v>12</v>
      </c>
      <c r="N22" s="144" t="s">
        <v>13</v>
      </c>
      <c r="P22" s="10" t="s">
        <v>43</v>
      </c>
      <c r="Q22" s="176">
        <v>2000</v>
      </c>
      <c r="R22" s="173">
        <v>2000</v>
      </c>
      <c r="T22" s="130" t="s">
        <v>108</v>
      </c>
      <c r="U22" s="184">
        <v>6700</v>
      </c>
      <c r="V22" s="137">
        <v>6000</v>
      </c>
    </row>
    <row r="23" spans="2:22">
      <c r="B23" s="258"/>
      <c r="C23" s="263" t="s">
        <v>4</v>
      </c>
      <c r="D23" s="264"/>
      <c r="E23" s="14">
        <v>2</v>
      </c>
      <c r="F23" s="14">
        <v>0</v>
      </c>
      <c r="G23" s="14">
        <v>0</v>
      </c>
      <c r="H23" s="14">
        <v>0</v>
      </c>
      <c r="I23" s="14">
        <v>2</v>
      </c>
      <c r="J23" s="14">
        <v>3</v>
      </c>
      <c r="K23" s="14">
        <v>1</v>
      </c>
      <c r="L23" s="14">
        <v>2</v>
      </c>
      <c r="M23" s="14">
        <v>1</v>
      </c>
      <c r="N23" s="15">
        <v>2</v>
      </c>
      <c r="P23" s="10" t="s">
        <v>44</v>
      </c>
      <c r="Q23" s="165">
        <v>0.7</v>
      </c>
      <c r="R23" s="171">
        <v>0.7</v>
      </c>
      <c r="T23" s="130" t="s">
        <v>109</v>
      </c>
      <c r="U23" s="184">
        <v>7800</v>
      </c>
      <c r="V23" s="137">
        <v>7000</v>
      </c>
    </row>
    <row r="24" spans="2:22" ht="14.25" customHeight="1" thickBot="1">
      <c r="B24" s="258"/>
      <c r="C24" s="263" t="s">
        <v>5</v>
      </c>
      <c r="D24" s="264"/>
      <c r="E24" s="14">
        <v>0</v>
      </c>
      <c r="F24" s="14">
        <v>2</v>
      </c>
      <c r="G24" s="14">
        <v>0</v>
      </c>
      <c r="H24" s="14">
        <v>0</v>
      </c>
      <c r="I24" s="14">
        <v>3</v>
      </c>
      <c r="J24" s="14">
        <v>1</v>
      </c>
      <c r="K24" s="14">
        <v>3</v>
      </c>
      <c r="L24" s="14">
        <v>2</v>
      </c>
      <c r="M24" s="14">
        <v>3</v>
      </c>
      <c r="N24" s="15">
        <v>1</v>
      </c>
      <c r="P24" s="11" t="s">
        <v>59</v>
      </c>
      <c r="Q24" s="177">
        <v>8000</v>
      </c>
      <c r="R24" s="174">
        <v>8000</v>
      </c>
      <c r="T24" s="17" t="s">
        <v>93</v>
      </c>
      <c r="U24" s="162">
        <v>0.4</v>
      </c>
      <c r="V24" s="134">
        <v>0.4</v>
      </c>
    </row>
    <row r="25" spans="2:22">
      <c r="B25" s="258"/>
      <c r="C25" s="263" t="s">
        <v>6</v>
      </c>
      <c r="D25" s="264"/>
      <c r="E25" s="14">
        <v>0</v>
      </c>
      <c r="F25" s="14">
        <v>0</v>
      </c>
      <c r="G25" s="14">
        <v>2</v>
      </c>
      <c r="H25" s="14">
        <v>0</v>
      </c>
      <c r="I25" s="204">
        <v>2</v>
      </c>
      <c r="J25" s="204">
        <v>3</v>
      </c>
      <c r="K25" s="14">
        <v>2</v>
      </c>
      <c r="L25" s="14">
        <v>1</v>
      </c>
      <c r="M25" s="14">
        <v>1</v>
      </c>
      <c r="N25" s="15">
        <v>2</v>
      </c>
      <c r="T25" s="17" t="s">
        <v>130</v>
      </c>
      <c r="U25" s="210">
        <v>10000</v>
      </c>
      <c r="V25" s="211">
        <v>10000</v>
      </c>
    </row>
    <row r="26" spans="2:22" ht="18" thickBot="1">
      <c r="B26" s="259"/>
      <c r="C26" s="255" t="s">
        <v>7</v>
      </c>
      <c r="D26" s="256"/>
      <c r="E26" s="12">
        <v>0</v>
      </c>
      <c r="F26" s="12">
        <v>0</v>
      </c>
      <c r="G26" s="12">
        <v>0</v>
      </c>
      <c r="H26" s="12">
        <v>2</v>
      </c>
      <c r="I26" s="12">
        <v>2</v>
      </c>
      <c r="J26" s="12">
        <v>3</v>
      </c>
      <c r="K26" s="12">
        <v>2</v>
      </c>
      <c r="L26" s="12">
        <v>2</v>
      </c>
      <c r="M26" s="12">
        <v>3</v>
      </c>
      <c r="N26" s="13">
        <v>1</v>
      </c>
      <c r="T26" s="17" t="s">
        <v>37</v>
      </c>
      <c r="U26" s="162">
        <v>10</v>
      </c>
      <c r="V26" s="134">
        <v>10</v>
      </c>
    </row>
    <row r="27" spans="2:22" ht="18.600000000000001" thickTop="1" thickBot="1">
      <c r="B27" s="260" t="s">
        <v>112</v>
      </c>
      <c r="C27" s="265"/>
      <c r="D27" s="266"/>
      <c r="E27" s="3" t="s">
        <v>0</v>
      </c>
      <c r="F27" s="3" t="s">
        <v>1</v>
      </c>
      <c r="G27" s="3" t="s">
        <v>2</v>
      </c>
      <c r="H27" s="3" t="s">
        <v>3</v>
      </c>
      <c r="I27" s="205" t="s">
        <v>8</v>
      </c>
      <c r="J27" s="205" t="s">
        <v>9</v>
      </c>
      <c r="K27" s="3" t="s">
        <v>10</v>
      </c>
      <c r="L27" s="3" t="s">
        <v>11</v>
      </c>
      <c r="M27" s="3" t="s">
        <v>12</v>
      </c>
      <c r="N27" s="4" t="s">
        <v>13</v>
      </c>
      <c r="T27" s="20" t="s">
        <v>38</v>
      </c>
      <c r="U27" s="166">
        <v>0.15</v>
      </c>
      <c r="V27" s="135">
        <v>0.15</v>
      </c>
    </row>
    <row r="28" spans="2:22">
      <c r="B28" s="258"/>
      <c r="C28" s="263" t="s">
        <v>4</v>
      </c>
      <c r="D28" s="264"/>
      <c r="E28" s="153">
        <v>2</v>
      </c>
      <c r="F28" s="153">
        <v>0</v>
      </c>
      <c r="G28" s="153">
        <v>0</v>
      </c>
      <c r="H28" s="153">
        <v>0</v>
      </c>
      <c r="I28" s="153">
        <v>2</v>
      </c>
      <c r="J28" s="153">
        <v>3</v>
      </c>
      <c r="K28" s="153">
        <v>1</v>
      </c>
      <c r="L28" s="153">
        <v>2</v>
      </c>
      <c r="M28" s="153">
        <v>1</v>
      </c>
      <c r="N28" s="154">
        <v>2</v>
      </c>
    </row>
    <row r="29" spans="2:22">
      <c r="B29" s="258"/>
      <c r="C29" s="263" t="s">
        <v>5</v>
      </c>
      <c r="D29" s="264"/>
      <c r="E29" s="153">
        <v>0</v>
      </c>
      <c r="F29" s="153">
        <v>2</v>
      </c>
      <c r="G29" s="153">
        <v>0</v>
      </c>
      <c r="H29" s="153">
        <v>0</v>
      </c>
      <c r="I29" s="153">
        <v>3</v>
      </c>
      <c r="J29" s="153">
        <v>1</v>
      </c>
      <c r="K29" s="153">
        <v>3</v>
      </c>
      <c r="L29" s="153">
        <v>2</v>
      </c>
      <c r="M29" s="153">
        <v>3</v>
      </c>
      <c r="N29" s="154">
        <v>1</v>
      </c>
    </row>
    <row r="30" spans="2:22">
      <c r="B30" s="258"/>
      <c r="C30" s="263" t="s">
        <v>6</v>
      </c>
      <c r="D30" s="264"/>
      <c r="E30" s="153">
        <v>0</v>
      </c>
      <c r="F30" s="153">
        <v>0</v>
      </c>
      <c r="G30" s="153">
        <v>2</v>
      </c>
      <c r="H30" s="153">
        <v>0</v>
      </c>
      <c r="I30" s="153">
        <v>2</v>
      </c>
      <c r="J30" s="153">
        <v>3</v>
      </c>
      <c r="K30" s="153">
        <v>2</v>
      </c>
      <c r="L30" s="153">
        <v>1</v>
      </c>
      <c r="M30" s="153">
        <v>1</v>
      </c>
      <c r="N30" s="154">
        <v>2</v>
      </c>
    </row>
    <row r="31" spans="2:22" ht="18" thickBot="1">
      <c r="B31" s="259"/>
      <c r="C31" s="255" t="s">
        <v>7</v>
      </c>
      <c r="D31" s="256"/>
      <c r="E31" s="155">
        <v>0</v>
      </c>
      <c r="F31" s="155">
        <v>0</v>
      </c>
      <c r="G31" s="155">
        <v>0</v>
      </c>
      <c r="H31" s="155">
        <v>2</v>
      </c>
      <c r="I31" s="155">
        <v>2</v>
      </c>
      <c r="J31" s="155">
        <v>3</v>
      </c>
      <c r="K31" s="155">
        <v>2</v>
      </c>
      <c r="L31" s="155">
        <v>2</v>
      </c>
      <c r="M31" s="155">
        <v>3</v>
      </c>
      <c r="N31" s="156">
        <v>1</v>
      </c>
    </row>
    <row r="33" spans="17:19">
      <c r="S33" s="2"/>
    </row>
    <row r="35" spans="17:19">
      <c r="Q35" s="2"/>
      <c r="R35" s="2"/>
    </row>
  </sheetData>
  <mergeCells count="24">
    <mergeCell ref="C26:D26"/>
    <mergeCell ref="B22:B26"/>
    <mergeCell ref="B27:B31"/>
    <mergeCell ref="B21:N21"/>
    <mergeCell ref="C22:D22"/>
    <mergeCell ref="C23:D23"/>
    <mergeCell ref="C24:D24"/>
    <mergeCell ref="C25:D25"/>
    <mergeCell ref="C30:D30"/>
    <mergeCell ref="C31:D31"/>
    <mergeCell ref="C27:D27"/>
    <mergeCell ref="C28:D28"/>
    <mergeCell ref="C29:D29"/>
    <mergeCell ref="T2:V4"/>
    <mergeCell ref="P2:R4"/>
    <mergeCell ref="P9:R9"/>
    <mergeCell ref="P15:R16"/>
    <mergeCell ref="T12:V12"/>
    <mergeCell ref="T6:V6"/>
    <mergeCell ref="B2:N4"/>
    <mergeCell ref="B5:N5"/>
    <mergeCell ref="B9:N9"/>
    <mergeCell ref="B13:N13"/>
    <mergeCell ref="B17:N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단추 1">
              <controlPr defaultSize="0" print="0" autoFill="0" autoPict="0" macro="[0]!Module1.아이템_가격변화율_산출">
                <anchor moveWithCells="1" sizeWithCells="1">
                  <from>
                    <xdr:col>15</xdr:col>
                    <xdr:colOff>30480</xdr:colOff>
                    <xdr:row>28</xdr:row>
                    <xdr:rowOff>83820</xdr:rowOff>
                  </from>
                  <to>
                    <xdr:col>18</xdr:col>
                    <xdr:colOff>30480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단추 3">
              <controlPr defaultSize="0" print="0" autoFill="0" autoPict="0" macro="[0]!사용방법">
                <anchor moveWithCells="1" sizeWithCells="1">
                  <from>
                    <xdr:col>15</xdr:col>
                    <xdr:colOff>22860</xdr:colOff>
                    <xdr:row>25</xdr:row>
                    <xdr:rowOff>22860</xdr:rowOff>
                  </from>
                  <to>
                    <xdr:col>18</xdr:col>
                    <xdr:colOff>7620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105"/>
  <sheetViews>
    <sheetView zoomScaleNormal="100" workbookViewId="0">
      <selection activeCell="D11" sqref="D11:M16"/>
    </sheetView>
  </sheetViews>
  <sheetFormatPr defaultColWidth="9" defaultRowHeight="17.399999999999999"/>
  <cols>
    <col min="1" max="1" width="4.19921875" style="21" customWidth="1"/>
    <col min="2" max="2" width="13.69921875" style="21" bestFit="1" customWidth="1"/>
    <col min="3" max="3" width="9" style="21"/>
    <col min="4" max="4" width="16.09765625" style="21" bestFit="1" customWidth="1"/>
    <col min="5" max="5" width="15.59765625" style="21" bestFit="1" customWidth="1"/>
    <col min="6" max="7" width="14.59765625" style="21" bestFit="1" customWidth="1"/>
    <col min="8" max="12" width="16.09765625" style="21" bestFit="1" customWidth="1"/>
    <col min="13" max="13" width="16.8984375" style="21" bestFit="1" customWidth="1"/>
    <col min="14" max="16384" width="9" style="21"/>
  </cols>
  <sheetData>
    <row r="1" spans="2:26" ht="18" thickBot="1"/>
    <row r="2" spans="2:26" ht="26.4" thickBot="1">
      <c r="B2" s="273" t="s">
        <v>135</v>
      </c>
      <c r="C2" s="274"/>
      <c r="D2" s="279" t="s">
        <v>20</v>
      </c>
      <c r="E2" s="279"/>
      <c r="F2" s="279"/>
      <c r="G2" s="279"/>
      <c r="H2" s="279"/>
      <c r="I2" s="279"/>
      <c r="J2" s="279"/>
      <c r="K2" s="279"/>
      <c r="L2" s="279"/>
      <c r="M2" s="280"/>
    </row>
    <row r="3" spans="2:26" ht="18" thickTop="1">
      <c r="B3" s="275"/>
      <c r="C3" s="276"/>
      <c r="D3" s="58" t="s">
        <v>0</v>
      </c>
      <c r="E3" s="58" t="s">
        <v>1</v>
      </c>
      <c r="F3" s="58" t="s">
        <v>2</v>
      </c>
      <c r="G3" s="58" t="s">
        <v>3</v>
      </c>
      <c r="H3" s="58" t="s">
        <v>8</v>
      </c>
      <c r="I3" s="58" t="s">
        <v>9</v>
      </c>
      <c r="J3" s="58" t="s">
        <v>10</v>
      </c>
      <c r="K3" s="58" t="s">
        <v>11</v>
      </c>
      <c r="L3" s="58" t="s">
        <v>12</v>
      </c>
      <c r="M3" s="59" t="s">
        <v>13</v>
      </c>
    </row>
    <row r="4" spans="2:26">
      <c r="B4" s="54" t="s">
        <v>4</v>
      </c>
      <c r="C4" s="55">
        <f>파라미터!$Q$8*파라미터!Q10</f>
        <v>20000</v>
      </c>
      <c r="D4" s="29">
        <f>파라미터!E28*$C$4</f>
        <v>40000</v>
      </c>
      <c r="E4" s="29">
        <f>파라미터!F28*$C$4</f>
        <v>0</v>
      </c>
      <c r="F4" s="29">
        <f>파라미터!G28*$C$4</f>
        <v>0</v>
      </c>
      <c r="G4" s="29">
        <f>파라미터!H28*$C$4</f>
        <v>0</v>
      </c>
      <c r="H4" s="29">
        <f>파라미터!I28*$C$4</f>
        <v>40000</v>
      </c>
      <c r="I4" s="29">
        <f>파라미터!J28*$C$4</f>
        <v>60000</v>
      </c>
      <c r="J4" s="29">
        <f>파라미터!K28*$C$4</f>
        <v>20000</v>
      </c>
      <c r="K4" s="29">
        <f>파라미터!L28*$C$4</f>
        <v>40000</v>
      </c>
      <c r="L4" s="29">
        <f>파라미터!M28*$C$4</f>
        <v>20000</v>
      </c>
      <c r="M4" s="5">
        <f>파라미터!N28*$C$4</f>
        <v>40000</v>
      </c>
    </row>
    <row r="5" spans="2:26">
      <c r="B5" s="54" t="s">
        <v>5</v>
      </c>
      <c r="C5" s="55">
        <f>파라미터!$Q$8*파라미터!Q11</f>
        <v>17500</v>
      </c>
      <c r="D5" s="29">
        <f>파라미터!E29*$C$5</f>
        <v>0</v>
      </c>
      <c r="E5" s="29">
        <f>파라미터!F29*$C$5</f>
        <v>35000</v>
      </c>
      <c r="F5" s="29">
        <f>파라미터!G29*$C$5</f>
        <v>0</v>
      </c>
      <c r="G5" s="29">
        <f>파라미터!H29*$C$5</f>
        <v>0</v>
      </c>
      <c r="H5" s="29">
        <f>파라미터!I29*$C$5</f>
        <v>52500</v>
      </c>
      <c r="I5" s="29">
        <f>파라미터!J29*$C$5</f>
        <v>17500</v>
      </c>
      <c r="J5" s="29">
        <f>파라미터!K29*$C$5</f>
        <v>52500</v>
      </c>
      <c r="K5" s="29">
        <f>파라미터!L29*$C$5</f>
        <v>35000</v>
      </c>
      <c r="L5" s="29">
        <f>파라미터!M29*$C$5</f>
        <v>52500</v>
      </c>
      <c r="M5" s="5">
        <f>파라미터!N29*$C$5</f>
        <v>17500</v>
      </c>
    </row>
    <row r="6" spans="2:26">
      <c r="B6" s="54" t="s">
        <v>6</v>
      </c>
      <c r="C6" s="55">
        <f>파라미터!$Q$8*파라미터!Q12</f>
        <v>7500</v>
      </c>
      <c r="D6" s="29">
        <f>파라미터!E30*$C$6</f>
        <v>0</v>
      </c>
      <c r="E6" s="29">
        <f>파라미터!F30*$C$6</f>
        <v>0</v>
      </c>
      <c r="F6" s="29">
        <f>파라미터!G30*$C$6</f>
        <v>15000</v>
      </c>
      <c r="G6" s="29">
        <f>파라미터!H30*$C$6</f>
        <v>0</v>
      </c>
      <c r="H6" s="29">
        <f>파라미터!I30*$C$6</f>
        <v>15000</v>
      </c>
      <c r="I6" s="29">
        <f>파라미터!J30*$C$6</f>
        <v>22500</v>
      </c>
      <c r="J6" s="29">
        <f>파라미터!K30*$C$6</f>
        <v>15000</v>
      </c>
      <c r="K6" s="29">
        <f>파라미터!L30*$C$6</f>
        <v>7500</v>
      </c>
      <c r="L6" s="29">
        <f>파라미터!M30*$C$6</f>
        <v>7500</v>
      </c>
      <c r="M6" s="5">
        <f>파라미터!N30*$C$6</f>
        <v>15000</v>
      </c>
    </row>
    <row r="7" spans="2:26" ht="18" thickBot="1">
      <c r="B7" s="56" t="s">
        <v>7</v>
      </c>
      <c r="C7" s="57">
        <f>파라미터!$Q$8*파라미터!Q13</f>
        <v>5000</v>
      </c>
      <c r="D7" s="44">
        <f>파라미터!E31*$C$7</f>
        <v>0</v>
      </c>
      <c r="E7" s="44">
        <f>파라미터!F31*$C$7</f>
        <v>0</v>
      </c>
      <c r="F7" s="44">
        <f>파라미터!G31*$C$7</f>
        <v>0</v>
      </c>
      <c r="G7" s="44">
        <f>파라미터!H31*$C$7</f>
        <v>10000</v>
      </c>
      <c r="H7" s="44">
        <f>파라미터!I31*$C$7</f>
        <v>10000</v>
      </c>
      <c r="I7" s="44">
        <f>파라미터!J31*$C$7</f>
        <v>15000</v>
      </c>
      <c r="J7" s="44">
        <f>파라미터!K31*$C$7</f>
        <v>10000</v>
      </c>
      <c r="K7" s="44">
        <f>파라미터!L31*$C$7</f>
        <v>10000</v>
      </c>
      <c r="L7" s="44">
        <f>파라미터!M31*$C$7</f>
        <v>15000</v>
      </c>
      <c r="M7" s="45">
        <f>파라미터!N31*$C$7</f>
        <v>5000</v>
      </c>
    </row>
    <row r="8" spans="2:26" ht="18.600000000000001" thickTop="1" thickBot="1">
      <c r="B8" s="281" t="s">
        <v>21</v>
      </c>
      <c r="C8" s="282"/>
      <c r="D8" s="110">
        <f>SUM(D4:D7)</f>
        <v>40000</v>
      </c>
      <c r="E8" s="110">
        <f t="shared" ref="E8:M8" si="0">SUM(E4:E7)</f>
        <v>35000</v>
      </c>
      <c r="F8" s="110">
        <f t="shared" si="0"/>
        <v>15000</v>
      </c>
      <c r="G8" s="110">
        <f t="shared" si="0"/>
        <v>10000</v>
      </c>
      <c r="H8" s="110">
        <f t="shared" si="0"/>
        <v>117500</v>
      </c>
      <c r="I8" s="110">
        <f t="shared" si="0"/>
        <v>115000</v>
      </c>
      <c r="J8" s="110">
        <f t="shared" si="0"/>
        <v>97500</v>
      </c>
      <c r="K8" s="110">
        <f t="shared" si="0"/>
        <v>92500</v>
      </c>
      <c r="L8" s="110">
        <f t="shared" si="0"/>
        <v>95000</v>
      </c>
      <c r="M8" s="111">
        <f t="shared" si="0"/>
        <v>77500</v>
      </c>
    </row>
    <row r="9" spans="2:26" ht="26.4" thickBot="1">
      <c r="B9" s="283" t="s">
        <v>136</v>
      </c>
      <c r="C9" s="284"/>
      <c r="D9" s="285" t="s">
        <v>22</v>
      </c>
      <c r="E9" s="285"/>
      <c r="F9" s="285"/>
      <c r="G9" s="285"/>
      <c r="H9" s="285"/>
      <c r="I9" s="285"/>
      <c r="J9" s="285"/>
      <c r="K9" s="285"/>
      <c r="L9" s="285"/>
      <c r="M9" s="286"/>
    </row>
    <row r="10" spans="2:26" ht="18" thickTop="1">
      <c r="B10" s="275"/>
      <c r="C10" s="276"/>
      <c r="D10" s="58" t="s">
        <v>0</v>
      </c>
      <c r="E10" s="58" t="s">
        <v>1</v>
      </c>
      <c r="F10" s="58" t="s">
        <v>2</v>
      </c>
      <c r="G10" s="58" t="s">
        <v>3</v>
      </c>
      <c r="H10" s="58" t="s">
        <v>8</v>
      </c>
      <c r="I10" s="58" t="s">
        <v>9</v>
      </c>
      <c r="J10" s="58" t="s">
        <v>10</v>
      </c>
      <c r="K10" s="58" t="s">
        <v>11</v>
      </c>
      <c r="L10" s="58" t="s">
        <v>12</v>
      </c>
      <c r="M10" s="59" t="s">
        <v>13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2:26">
      <c r="B11" s="269">
        <v>0</v>
      </c>
      <c r="C11" s="270"/>
      <c r="D11" s="31">
        <v>1.4616666666666691E-2</v>
      </c>
      <c r="E11" s="31">
        <v>1.4616666666666691E-2</v>
      </c>
      <c r="F11" s="31">
        <v>1.4616666666666691E-2</v>
      </c>
      <c r="G11" s="31">
        <v>1.4616666666666691E-2</v>
      </c>
      <c r="H11" s="31">
        <v>1.4616666666666691E-2</v>
      </c>
      <c r="I11" s="31">
        <v>1.4616666666666691E-2</v>
      </c>
      <c r="J11" s="31">
        <v>1.4616666666666691E-2</v>
      </c>
      <c r="K11" s="31">
        <v>1.4616666666666691E-2</v>
      </c>
      <c r="L11" s="31">
        <v>1.4616666666666691E-2</v>
      </c>
      <c r="M11" s="32">
        <v>1.4616666666666691E-2</v>
      </c>
    </row>
    <row r="12" spans="2:26">
      <c r="B12" s="269">
        <v>1</v>
      </c>
      <c r="C12" s="270"/>
      <c r="D12" s="31">
        <v>8.31166666666667E-2</v>
      </c>
      <c r="E12" s="31">
        <v>8.31166666666667E-2</v>
      </c>
      <c r="F12" s="31">
        <v>8.31166666666667E-2</v>
      </c>
      <c r="G12" s="31">
        <v>8.31166666666667E-2</v>
      </c>
      <c r="H12" s="31">
        <v>8.31166666666667E-2</v>
      </c>
      <c r="I12" s="31">
        <v>8.31166666666667E-2</v>
      </c>
      <c r="J12" s="31">
        <v>8.31166666666667E-2</v>
      </c>
      <c r="K12" s="31">
        <v>8.31166666666667E-2</v>
      </c>
      <c r="L12" s="31">
        <v>8.31166666666667E-2</v>
      </c>
      <c r="M12" s="32">
        <v>8.31166666666667E-2</v>
      </c>
    </row>
    <row r="13" spans="2:26">
      <c r="B13" s="269">
        <v>2</v>
      </c>
      <c r="C13" s="270"/>
      <c r="D13" s="31">
        <v>0.35561666666666669</v>
      </c>
      <c r="E13" s="31">
        <v>0.35561666666666669</v>
      </c>
      <c r="F13" s="31">
        <v>0.35561666666666669</v>
      </c>
      <c r="G13" s="31">
        <v>0.35561666666666669</v>
      </c>
      <c r="H13" s="31">
        <v>0.35561666666666669</v>
      </c>
      <c r="I13" s="31">
        <v>0.35561666666666669</v>
      </c>
      <c r="J13" s="31">
        <v>0.35561666666666669</v>
      </c>
      <c r="K13" s="31">
        <v>0.35561666666666669</v>
      </c>
      <c r="L13" s="31">
        <v>0.35561666666666669</v>
      </c>
      <c r="M13" s="32">
        <v>0.35561666666666669</v>
      </c>
    </row>
    <row r="14" spans="2:26">
      <c r="B14" s="269">
        <v>3</v>
      </c>
      <c r="C14" s="270"/>
      <c r="D14" s="31">
        <v>0.33661666666666668</v>
      </c>
      <c r="E14" s="31">
        <v>0.33661666666666668</v>
      </c>
      <c r="F14" s="31">
        <v>0.33661666666666668</v>
      </c>
      <c r="G14" s="31">
        <v>0.33661666666666668</v>
      </c>
      <c r="H14" s="31">
        <v>0.33661666666666668</v>
      </c>
      <c r="I14" s="31">
        <v>0.33661666666666668</v>
      </c>
      <c r="J14" s="31">
        <v>0.33661666666666668</v>
      </c>
      <c r="K14" s="31">
        <v>0.33661666666666668</v>
      </c>
      <c r="L14" s="31">
        <v>0.33661666666666668</v>
      </c>
      <c r="M14" s="32">
        <v>0.33661666666666668</v>
      </c>
    </row>
    <row r="15" spans="2:26">
      <c r="B15" s="269">
        <v>4</v>
      </c>
      <c r="C15" s="270"/>
      <c r="D15" s="31">
        <v>0.15661666666666668</v>
      </c>
      <c r="E15" s="31">
        <v>0.15661666666666668</v>
      </c>
      <c r="F15" s="31">
        <v>0.15661666666666668</v>
      </c>
      <c r="G15" s="31">
        <v>0.15661666666666668</v>
      </c>
      <c r="H15" s="31">
        <v>0.15661666666666668</v>
      </c>
      <c r="I15" s="31">
        <v>0.15661666666666668</v>
      </c>
      <c r="J15" s="31">
        <v>0.15661666666666668</v>
      </c>
      <c r="K15" s="31">
        <v>0.15661666666666668</v>
      </c>
      <c r="L15" s="31">
        <v>0.15661666666666668</v>
      </c>
      <c r="M15" s="32">
        <v>0.15661666666666668</v>
      </c>
    </row>
    <row r="16" spans="2:26" ht="18" thickBot="1">
      <c r="B16" s="277">
        <v>5</v>
      </c>
      <c r="C16" s="278"/>
      <c r="D16" s="33">
        <v>5.3416666666666696E-2</v>
      </c>
      <c r="E16" s="33">
        <v>5.3416666666666696E-2</v>
      </c>
      <c r="F16" s="33">
        <v>5.3416666666666696E-2</v>
      </c>
      <c r="G16" s="33">
        <v>5.3416666666666696E-2</v>
      </c>
      <c r="H16" s="33">
        <v>5.3416666666666696E-2</v>
      </c>
      <c r="I16" s="33">
        <v>5.3416666666666696E-2</v>
      </c>
      <c r="J16" s="33">
        <v>5.3416666666666696E-2</v>
      </c>
      <c r="K16" s="33">
        <v>5.3416666666666696E-2</v>
      </c>
      <c r="L16" s="33">
        <v>5.3416666666666696E-2</v>
      </c>
      <c r="M16" s="34">
        <v>5.3416666666666696E-2</v>
      </c>
    </row>
    <row r="17" spans="2:26" ht="18.600000000000001" thickTop="1" thickBot="1">
      <c r="B17" s="267" t="s">
        <v>72</v>
      </c>
      <c r="C17" s="268"/>
      <c r="D17" s="48">
        <f>SUM(D11:D16)</f>
        <v>1</v>
      </c>
      <c r="E17" s="48">
        <f>SUM(E11:E16)</f>
        <v>1</v>
      </c>
      <c r="F17" s="48">
        <f t="shared" ref="F17:M17" si="1">SUM(F11:F16)</f>
        <v>1</v>
      </c>
      <c r="G17" s="48">
        <f t="shared" si="1"/>
        <v>1</v>
      </c>
      <c r="H17" s="48">
        <f t="shared" si="1"/>
        <v>1</v>
      </c>
      <c r="I17" s="48">
        <f t="shared" si="1"/>
        <v>1</v>
      </c>
      <c r="J17" s="48">
        <f t="shared" si="1"/>
        <v>1</v>
      </c>
      <c r="K17" s="48">
        <f t="shared" si="1"/>
        <v>1</v>
      </c>
      <c r="L17" s="48">
        <f t="shared" si="1"/>
        <v>1</v>
      </c>
      <c r="M17" s="49">
        <f t="shared" si="1"/>
        <v>1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27" thickTop="1" thickBot="1">
      <c r="B18" s="273" t="s">
        <v>136</v>
      </c>
      <c r="C18" s="274"/>
      <c r="D18" s="279" t="s">
        <v>25</v>
      </c>
      <c r="E18" s="279"/>
      <c r="F18" s="279"/>
      <c r="G18" s="279"/>
      <c r="H18" s="279"/>
      <c r="I18" s="279"/>
      <c r="J18" s="279"/>
      <c r="K18" s="279"/>
      <c r="L18" s="279"/>
      <c r="M18" s="280"/>
    </row>
    <row r="19" spans="2:26" ht="18" thickTop="1">
      <c r="B19" s="275"/>
      <c r="C19" s="276"/>
      <c r="D19" s="58" t="s">
        <v>0</v>
      </c>
      <c r="E19" s="58" t="s">
        <v>1</v>
      </c>
      <c r="F19" s="58" t="s">
        <v>2</v>
      </c>
      <c r="G19" s="58" t="s">
        <v>3</v>
      </c>
      <c r="H19" s="58" t="s">
        <v>8</v>
      </c>
      <c r="I19" s="58" t="s">
        <v>9</v>
      </c>
      <c r="J19" s="58" t="s">
        <v>10</v>
      </c>
      <c r="K19" s="58" t="s">
        <v>11</v>
      </c>
      <c r="L19" s="58" t="s">
        <v>12</v>
      </c>
      <c r="M19" s="59" t="s">
        <v>13</v>
      </c>
    </row>
    <row r="20" spans="2:26">
      <c r="B20" s="269">
        <v>0</v>
      </c>
      <c r="C20" s="270"/>
      <c r="D20" s="35">
        <f t="shared" ref="D20:D25" si="2">$D$8*D11</f>
        <v>584.66666666666765</v>
      </c>
      <c r="E20" s="35">
        <f t="shared" ref="E20:E25" si="3">$E$8*E11</f>
        <v>511.58333333333417</v>
      </c>
      <c r="F20" s="35">
        <f t="shared" ref="F20:F25" si="4">$F$8*F11</f>
        <v>219.25000000000037</v>
      </c>
      <c r="G20" s="35">
        <f t="shared" ref="G20:G25" si="5">$G$8*G11</f>
        <v>146.16666666666691</v>
      </c>
      <c r="H20" s="35">
        <f t="shared" ref="H20:H25" si="6">$H$8*H11</f>
        <v>1717.4583333333362</v>
      </c>
      <c r="I20" s="35">
        <f t="shared" ref="I20:I25" si="7">$I$8*I11</f>
        <v>1680.9166666666695</v>
      </c>
      <c r="J20" s="35">
        <f t="shared" ref="J20:J25" si="8">$J$8*J11</f>
        <v>1425.1250000000023</v>
      </c>
      <c r="K20" s="35">
        <f t="shared" ref="K20:K25" si="9">$K$8*K11</f>
        <v>1352.041666666669</v>
      </c>
      <c r="L20" s="35">
        <f t="shared" ref="L20:L25" si="10">$L$8*L11</f>
        <v>1388.5833333333355</v>
      </c>
      <c r="M20" s="36">
        <f t="shared" ref="M20:M25" si="11">$M$8*M11</f>
        <v>1132.7916666666686</v>
      </c>
    </row>
    <row r="21" spans="2:26">
      <c r="B21" s="269">
        <v>1</v>
      </c>
      <c r="C21" s="270"/>
      <c r="D21" s="35">
        <f t="shared" si="2"/>
        <v>3324.6666666666679</v>
      </c>
      <c r="E21" s="35">
        <f t="shared" si="3"/>
        <v>2909.0833333333344</v>
      </c>
      <c r="F21" s="35">
        <f t="shared" si="4"/>
        <v>1246.7500000000005</v>
      </c>
      <c r="G21" s="35">
        <f t="shared" si="5"/>
        <v>831.16666666666697</v>
      </c>
      <c r="H21" s="35">
        <f t="shared" si="6"/>
        <v>9766.2083333333376</v>
      </c>
      <c r="I21" s="35">
        <f t="shared" si="7"/>
        <v>9558.4166666666697</v>
      </c>
      <c r="J21" s="35">
        <f t="shared" si="8"/>
        <v>8103.8750000000036</v>
      </c>
      <c r="K21" s="35">
        <f t="shared" si="9"/>
        <v>7688.2916666666697</v>
      </c>
      <c r="L21" s="35">
        <f t="shared" si="10"/>
        <v>7896.0833333333367</v>
      </c>
      <c r="M21" s="36">
        <f t="shared" si="11"/>
        <v>6441.5416666666688</v>
      </c>
    </row>
    <row r="22" spans="2:26">
      <c r="B22" s="269">
        <v>2</v>
      </c>
      <c r="C22" s="270"/>
      <c r="D22" s="35">
        <f t="shared" si="2"/>
        <v>14224.666666666668</v>
      </c>
      <c r="E22" s="35">
        <f t="shared" si="3"/>
        <v>12446.583333333334</v>
      </c>
      <c r="F22" s="35">
        <f t="shared" si="4"/>
        <v>5334.25</v>
      </c>
      <c r="G22" s="35">
        <f t="shared" si="5"/>
        <v>3556.166666666667</v>
      </c>
      <c r="H22" s="35">
        <f t="shared" si="6"/>
        <v>41784.958333333336</v>
      </c>
      <c r="I22" s="35">
        <f t="shared" si="7"/>
        <v>40895.916666666672</v>
      </c>
      <c r="J22" s="35">
        <f t="shared" si="8"/>
        <v>34672.625</v>
      </c>
      <c r="K22" s="35">
        <f t="shared" si="9"/>
        <v>32894.541666666672</v>
      </c>
      <c r="L22" s="35">
        <f t="shared" si="10"/>
        <v>33783.583333333336</v>
      </c>
      <c r="M22" s="36">
        <f t="shared" si="11"/>
        <v>27560.291666666668</v>
      </c>
    </row>
    <row r="23" spans="2:26">
      <c r="B23" s="269">
        <v>3</v>
      </c>
      <c r="C23" s="270"/>
      <c r="D23" s="35">
        <f t="shared" si="2"/>
        <v>13464.666666666668</v>
      </c>
      <c r="E23" s="35">
        <f t="shared" si="3"/>
        <v>11781.583333333334</v>
      </c>
      <c r="F23" s="35">
        <f t="shared" si="4"/>
        <v>5049.25</v>
      </c>
      <c r="G23" s="35">
        <f t="shared" si="5"/>
        <v>3366.166666666667</v>
      </c>
      <c r="H23" s="35">
        <f t="shared" si="6"/>
        <v>39552.458333333336</v>
      </c>
      <c r="I23" s="35">
        <f t="shared" si="7"/>
        <v>38710.916666666664</v>
      </c>
      <c r="J23" s="35">
        <f t="shared" si="8"/>
        <v>32820.125</v>
      </c>
      <c r="K23" s="35">
        <f t="shared" si="9"/>
        <v>31137.041666666668</v>
      </c>
      <c r="L23" s="35">
        <f t="shared" si="10"/>
        <v>31978.583333333336</v>
      </c>
      <c r="M23" s="36">
        <f t="shared" si="11"/>
        <v>26087.791666666668</v>
      </c>
    </row>
    <row r="24" spans="2:26">
      <c r="B24" s="269">
        <v>4</v>
      </c>
      <c r="C24" s="270"/>
      <c r="D24" s="35">
        <f t="shared" si="2"/>
        <v>6264.666666666667</v>
      </c>
      <c r="E24" s="35">
        <f t="shared" si="3"/>
        <v>5481.5833333333339</v>
      </c>
      <c r="F24" s="35">
        <f t="shared" si="4"/>
        <v>2349.25</v>
      </c>
      <c r="G24" s="35">
        <f t="shared" si="5"/>
        <v>1566.1666666666667</v>
      </c>
      <c r="H24" s="35">
        <f t="shared" si="6"/>
        <v>18402.458333333336</v>
      </c>
      <c r="I24" s="35">
        <f t="shared" si="7"/>
        <v>18010.916666666668</v>
      </c>
      <c r="J24" s="35">
        <f t="shared" si="8"/>
        <v>15270.125000000002</v>
      </c>
      <c r="K24" s="35">
        <f t="shared" si="9"/>
        <v>14487.041666666668</v>
      </c>
      <c r="L24" s="35">
        <f t="shared" si="10"/>
        <v>14878.583333333334</v>
      </c>
      <c r="M24" s="36">
        <f t="shared" si="11"/>
        <v>12137.791666666668</v>
      </c>
    </row>
    <row r="25" spans="2:26" ht="18" thickBot="1">
      <c r="B25" s="271">
        <v>5</v>
      </c>
      <c r="C25" s="272"/>
      <c r="D25" s="42">
        <f t="shared" si="2"/>
        <v>2136.6666666666679</v>
      </c>
      <c r="E25" s="42">
        <f t="shared" si="3"/>
        <v>1869.5833333333344</v>
      </c>
      <c r="F25" s="42">
        <f t="shared" si="4"/>
        <v>801.25000000000045</v>
      </c>
      <c r="G25" s="42">
        <f t="shared" si="5"/>
        <v>534.16666666666697</v>
      </c>
      <c r="H25" s="42">
        <f t="shared" si="6"/>
        <v>6276.4583333333367</v>
      </c>
      <c r="I25" s="42">
        <f t="shared" si="7"/>
        <v>6142.9166666666697</v>
      </c>
      <c r="J25" s="42">
        <f t="shared" si="8"/>
        <v>5208.1250000000027</v>
      </c>
      <c r="K25" s="42">
        <f t="shared" si="9"/>
        <v>4941.0416666666697</v>
      </c>
      <c r="L25" s="42">
        <f t="shared" si="10"/>
        <v>5074.5833333333358</v>
      </c>
      <c r="M25" s="43">
        <f t="shared" si="11"/>
        <v>4139.7916666666688</v>
      </c>
    </row>
    <row r="26" spans="2:26" ht="26.4" thickBot="1">
      <c r="B26" s="273" t="s">
        <v>136</v>
      </c>
      <c r="C26" s="274"/>
      <c r="D26" s="279" t="s">
        <v>26</v>
      </c>
      <c r="E26" s="279"/>
      <c r="F26" s="279"/>
      <c r="G26" s="279"/>
      <c r="H26" s="279"/>
      <c r="I26" s="279"/>
      <c r="J26" s="279"/>
      <c r="K26" s="279"/>
      <c r="L26" s="279"/>
      <c r="M26" s="280"/>
    </row>
    <row r="27" spans="2:26" ht="18" thickTop="1">
      <c r="B27" s="275"/>
      <c r="C27" s="276"/>
      <c r="D27" s="58" t="s">
        <v>0</v>
      </c>
      <c r="E27" s="58" t="s">
        <v>1</v>
      </c>
      <c r="F27" s="58" t="s">
        <v>2</v>
      </c>
      <c r="G27" s="58" t="s">
        <v>3</v>
      </c>
      <c r="H27" s="58" t="s">
        <v>8</v>
      </c>
      <c r="I27" s="58" t="s">
        <v>9</v>
      </c>
      <c r="J27" s="58" t="s">
        <v>10</v>
      </c>
      <c r="K27" s="58" t="s">
        <v>11</v>
      </c>
      <c r="L27" s="58" t="s">
        <v>12</v>
      </c>
      <c r="M27" s="59" t="s">
        <v>13</v>
      </c>
    </row>
    <row r="28" spans="2:26">
      <c r="B28" s="269" t="s">
        <v>27</v>
      </c>
      <c r="C28" s="270"/>
      <c r="D28" s="35">
        <f>파라미터!U13</f>
        <v>10000</v>
      </c>
      <c r="E28" s="35">
        <f>파라미터!U13</f>
        <v>10000</v>
      </c>
      <c r="F28" s="35">
        <f>파라미터!U13</f>
        <v>10000</v>
      </c>
      <c r="G28" s="35">
        <f>파라미터!U13</f>
        <v>10000</v>
      </c>
      <c r="H28" s="35">
        <f>파라미터!U13*0.5</f>
        <v>5000</v>
      </c>
      <c r="I28" s="35">
        <f>파라미터!U13*0.5</f>
        <v>5000</v>
      </c>
      <c r="J28" s="35">
        <f>파라미터!U13*0.5</f>
        <v>5000</v>
      </c>
      <c r="K28" s="35">
        <f>파라미터!U13*0.5</f>
        <v>5000</v>
      </c>
      <c r="L28" s="35">
        <f>파라미터!U13*0.5</f>
        <v>5000</v>
      </c>
      <c r="M28" s="36">
        <f>파라미터!U13*0.5</f>
        <v>5000</v>
      </c>
    </row>
    <row r="29" spans="2:26">
      <c r="B29" s="269" t="s">
        <v>28</v>
      </c>
      <c r="C29" s="270"/>
      <c r="D29" s="35">
        <f>파라미터!U14</f>
        <v>30000</v>
      </c>
      <c r="E29" s="35">
        <f>파라미터!U14</f>
        <v>30000</v>
      </c>
      <c r="F29" s="35">
        <f>파라미터!U14</f>
        <v>30000</v>
      </c>
      <c r="G29" s="35">
        <f>파라미터!U14</f>
        <v>30000</v>
      </c>
      <c r="H29" s="35">
        <f>파라미터!U14*0.5</f>
        <v>15000</v>
      </c>
      <c r="I29" s="35">
        <f>파라미터!U14*0.5</f>
        <v>15000</v>
      </c>
      <c r="J29" s="35">
        <f>파라미터!U14*0.5</f>
        <v>15000</v>
      </c>
      <c r="K29" s="35">
        <f>파라미터!U14*0.5</f>
        <v>15000</v>
      </c>
      <c r="L29" s="35">
        <f>파라미터!U14*0.5</f>
        <v>15000</v>
      </c>
      <c r="M29" s="36">
        <f>파라미터!U14*0.5</f>
        <v>15000</v>
      </c>
    </row>
    <row r="30" spans="2:26">
      <c r="B30" s="269" t="s">
        <v>29</v>
      </c>
      <c r="C30" s="270"/>
      <c r="D30" s="35">
        <f>파라미터!U15</f>
        <v>50000</v>
      </c>
      <c r="E30" s="35">
        <f>파라미터!U15</f>
        <v>50000</v>
      </c>
      <c r="F30" s="35">
        <f>파라미터!U15</f>
        <v>50000</v>
      </c>
      <c r="G30" s="35">
        <f>파라미터!U15</f>
        <v>50000</v>
      </c>
      <c r="H30" s="35">
        <f>파라미터!U15*0.5</f>
        <v>25000</v>
      </c>
      <c r="I30" s="35">
        <f>파라미터!U15*0.5</f>
        <v>25000</v>
      </c>
      <c r="J30" s="35">
        <f>파라미터!U15*0.5</f>
        <v>25000</v>
      </c>
      <c r="K30" s="35">
        <f>파라미터!U15*0.5</f>
        <v>25000</v>
      </c>
      <c r="L30" s="35">
        <f>파라미터!U15*0.5</f>
        <v>25000</v>
      </c>
      <c r="M30" s="36">
        <f>파라미터!U15*0.5</f>
        <v>25000</v>
      </c>
    </row>
    <row r="31" spans="2:26">
      <c r="B31" s="269" t="s">
        <v>30</v>
      </c>
      <c r="C31" s="270"/>
      <c r="D31" s="35">
        <f>파라미터!U16</f>
        <v>70000</v>
      </c>
      <c r="E31" s="35">
        <f>파라미터!U16</f>
        <v>70000</v>
      </c>
      <c r="F31" s="35">
        <f>파라미터!U16</f>
        <v>70000</v>
      </c>
      <c r="G31" s="35">
        <f>파라미터!U16</f>
        <v>70000</v>
      </c>
      <c r="H31" s="35">
        <f>파라미터!U16*0.5</f>
        <v>35000</v>
      </c>
      <c r="I31" s="35">
        <f>파라미터!U16*0.5</f>
        <v>35000</v>
      </c>
      <c r="J31" s="35">
        <f>파라미터!U16*0.5</f>
        <v>35000</v>
      </c>
      <c r="K31" s="35">
        <f>파라미터!U16*0.5</f>
        <v>35000</v>
      </c>
      <c r="L31" s="35">
        <f>파라미터!U16*0.5</f>
        <v>35000</v>
      </c>
      <c r="M31" s="36">
        <f>파라미터!U16*0.5</f>
        <v>35000</v>
      </c>
    </row>
    <row r="32" spans="2:26">
      <c r="B32" s="269" t="s">
        <v>31</v>
      </c>
      <c r="C32" s="270"/>
      <c r="D32" s="35">
        <f>파라미터!U17</f>
        <v>100000</v>
      </c>
      <c r="E32" s="35">
        <f>파라미터!U17</f>
        <v>100000</v>
      </c>
      <c r="F32" s="35">
        <f>파라미터!U17</f>
        <v>100000</v>
      </c>
      <c r="G32" s="35">
        <f>파라미터!U17</f>
        <v>100000</v>
      </c>
      <c r="H32" s="35">
        <f>파라미터!U17*0.5</f>
        <v>50000</v>
      </c>
      <c r="I32" s="35">
        <f>파라미터!U17*0.5</f>
        <v>50000</v>
      </c>
      <c r="J32" s="35">
        <f>파라미터!U17*0.5</f>
        <v>50000</v>
      </c>
      <c r="K32" s="35">
        <f>파라미터!U17*0.5</f>
        <v>50000</v>
      </c>
      <c r="L32" s="35">
        <f>파라미터!U17*0.5</f>
        <v>50000</v>
      </c>
      <c r="M32" s="36">
        <f>파라미터!U17*0.5</f>
        <v>50000</v>
      </c>
    </row>
    <row r="33" spans="2:13" ht="18" thickBot="1">
      <c r="B33" s="271">
        <v>5</v>
      </c>
      <c r="C33" s="272"/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3">
        <v>0</v>
      </c>
    </row>
    <row r="34" spans="2:13" ht="26.4" thickBot="1">
      <c r="B34" s="273" t="s">
        <v>136</v>
      </c>
      <c r="C34" s="274"/>
      <c r="D34" s="279" t="s">
        <v>32</v>
      </c>
      <c r="E34" s="279"/>
      <c r="F34" s="279"/>
      <c r="G34" s="279"/>
      <c r="H34" s="279"/>
      <c r="I34" s="279"/>
      <c r="J34" s="279"/>
      <c r="K34" s="279"/>
      <c r="L34" s="279"/>
      <c r="M34" s="280"/>
    </row>
    <row r="35" spans="2:13" ht="18" thickTop="1">
      <c r="B35" s="275"/>
      <c r="C35" s="276"/>
      <c r="D35" s="58" t="s">
        <v>0</v>
      </c>
      <c r="E35" s="58" t="s">
        <v>1</v>
      </c>
      <c r="F35" s="58" t="s">
        <v>2</v>
      </c>
      <c r="G35" s="58" t="s">
        <v>3</v>
      </c>
      <c r="H35" s="58" t="s">
        <v>8</v>
      </c>
      <c r="I35" s="58" t="s">
        <v>9</v>
      </c>
      <c r="J35" s="58" t="s">
        <v>10</v>
      </c>
      <c r="K35" s="58" t="s">
        <v>11</v>
      </c>
      <c r="L35" s="58" t="s">
        <v>12</v>
      </c>
      <c r="M35" s="59" t="s">
        <v>13</v>
      </c>
    </row>
    <row r="36" spans="2:13">
      <c r="B36" s="269" t="s">
        <v>27</v>
      </c>
      <c r="C36" s="270"/>
      <c r="D36" s="38">
        <f>1/파라미터!$V$13</f>
        <v>1</v>
      </c>
      <c r="E36" s="38">
        <f>1/파라미터!$V$13</f>
        <v>1</v>
      </c>
      <c r="F36" s="38">
        <f>1/파라미터!$V$13</f>
        <v>1</v>
      </c>
      <c r="G36" s="38">
        <f>1/파라미터!$V$13</f>
        <v>1</v>
      </c>
      <c r="H36" s="38">
        <f>1/파라미터!$V$13</f>
        <v>1</v>
      </c>
      <c r="I36" s="38">
        <f>1/파라미터!$V$13</f>
        <v>1</v>
      </c>
      <c r="J36" s="38">
        <f>1/파라미터!$V$13</f>
        <v>1</v>
      </c>
      <c r="K36" s="38">
        <f>1/파라미터!$V$13</f>
        <v>1</v>
      </c>
      <c r="L36" s="38">
        <f>1/파라미터!$V$13</f>
        <v>1</v>
      </c>
      <c r="M36" s="39">
        <f>1/파라미터!$V$13</f>
        <v>1</v>
      </c>
    </row>
    <row r="37" spans="2:13">
      <c r="B37" s="269" t="s">
        <v>28</v>
      </c>
      <c r="C37" s="270"/>
      <c r="D37" s="38">
        <f>1/파라미터!$V$14</f>
        <v>1.25</v>
      </c>
      <c r="E37" s="38">
        <f>1/파라미터!$V$14</f>
        <v>1.25</v>
      </c>
      <c r="F37" s="38">
        <f>1/파라미터!$V$14</f>
        <v>1.25</v>
      </c>
      <c r="G37" s="38">
        <f>1/파라미터!$V$14</f>
        <v>1.25</v>
      </c>
      <c r="H37" s="38">
        <f>1/파라미터!$V$14</f>
        <v>1.25</v>
      </c>
      <c r="I37" s="38">
        <f>1/파라미터!$V$14</f>
        <v>1.25</v>
      </c>
      <c r="J37" s="38">
        <f>1/파라미터!$V$14</f>
        <v>1.25</v>
      </c>
      <c r="K37" s="38">
        <f>1/파라미터!$V$14</f>
        <v>1.25</v>
      </c>
      <c r="L37" s="38">
        <f>1/파라미터!$V$14</f>
        <v>1.25</v>
      </c>
      <c r="M37" s="39">
        <f>1/파라미터!$V$14</f>
        <v>1.25</v>
      </c>
    </row>
    <row r="38" spans="2:13">
      <c r="B38" s="269" t="s">
        <v>29</v>
      </c>
      <c r="C38" s="270"/>
      <c r="D38" s="38">
        <f>1/파라미터!$V$15</f>
        <v>1.6666666666666667</v>
      </c>
      <c r="E38" s="38">
        <f>1/파라미터!$V$15</f>
        <v>1.6666666666666667</v>
      </c>
      <c r="F38" s="38">
        <f>1/파라미터!$V$15</f>
        <v>1.6666666666666667</v>
      </c>
      <c r="G38" s="38">
        <f>1/파라미터!$V$15</f>
        <v>1.6666666666666667</v>
      </c>
      <c r="H38" s="38">
        <f>1/파라미터!$V$15</f>
        <v>1.6666666666666667</v>
      </c>
      <c r="I38" s="38">
        <f>1/파라미터!$V$15</f>
        <v>1.6666666666666667</v>
      </c>
      <c r="J38" s="38">
        <f>1/파라미터!$V$15</f>
        <v>1.6666666666666667</v>
      </c>
      <c r="K38" s="38">
        <f>1/파라미터!$V$15</f>
        <v>1.6666666666666667</v>
      </c>
      <c r="L38" s="38">
        <f>1/파라미터!$V$15</f>
        <v>1.6666666666666667</v>
      </c>
      <c r="M38" s="39">
        <f>1/파라미터!$V$15</f>
        <v>1.6666666666666667</v>
      </c>
    </row>
    <row r="39" spans="2:13">
      <c r="B39" s="269" t="s">
        <v>30</v>
      </c>
      <c r="C39" s="270"/>
      <c r="D39" s="38">
        <f>1/파라미터!$V$16</f>
        <v>2.5</v>
      </c>
      <c r="E39" s="38">
        <f>1/파라미터!$V$16</f>
        <v>2.5</v>
      </c>
      <c r="F39" s="38">
        <f>1/파라미터!$V$16</f>
        <v>2.5</v>
      </c>
      <c r="G39" s="38">
        <f>1/파라미터!$V$16</f>
        <v>2.5</v>
      </c>
      <c r="H39" s="38">
        <f>1/파라미터!$V$16</f>
        <v>2.5</v>
      </c>
      <c r="I39" s="38">
        <f>1/파라미터!$V$16</f>
        <v>2.5</v>
      </c>
      <c r="J39" s="38">
        <f>1/파라미터!$V$16</f>
        <v>2.5</v>
      </c>
      <c r="K39" s="38">
        <f>1/파라미터!$V$16</f>
        <v>2.5</v>
      </c>
      <c r="L39" s="38">
        <f>1/파라미터!$V$16</f>
        <v>2.5</v>
      </c>
      <c r="M39" s="39">
        <f>1/파라미터!$V$16</f>
        <v>2.5</v>
      </c>
    </row>
    <row r="40" spans="2:13">
      <c r="B40" s="269" t="s">
        <v>31</v>
      </c>
      <c r="C40" s="270"/>
      <c r="D40" s="38">
        <f>1/파라미터!$V$17</f>
        <v>5</v>
      </c>
      <c r="E40" s="38">
        <f>1/파라미터!$V$17</f>
        <v>5</v>
      </c>
      <c r="F40" s="38">
        <f>1/파라미터!$V$17</f>
        <v>5</v>
      </c>
      <c r="G40" s="38">
        <f>1/파라미터!$V$17</f>
        <v>5</v>
      </c>
      <c r="H40" s="38">
        <f>1/파라미터!$V$17</f>
        <v>5</v>
      </c>
      <c r="I40" s="38">
        <f>1/파라미터!$V$17</f>
        <v>5</v>
      </c>
      <c r="J40" s="38">
        <f>1/파라미터!$V$17</f>
        <v>5</v>
      </c>
      <c r="K40" s="38">
        <f>1/파라미터!$V$17</f>
        <v>5</v>
      </c>
      <c r="L40" s="38">
        <f>1/파라미터!$V$17</f>
        <v>5</v>
      </c>
      <c r="M40" s="39">
        <f>1/파라미터!$V$17</f>
        <v>5</v>
      </c>
    </row>
    <row r="41" spans="2:13" ht="18" thickBot="1">
      <c r="B41" s="271">
        <v>5</v>
      </c>
      <c r="C41" s="272"/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3">
        <v>0</v>
      </c>
    </row>
    <row r="42" spans="2:13" ht="26.4" thickBot="1">
      <c r="B42" s="273" t="s">
        <v>136</v>
      </c>
      <c r="C42" s="274"/>
      <c r="D42" s="279" t="s">
        <v>33</v>
      </c>
      <c r="E42" s="279"/>
      <c r="F42" s="279"/>
      <c r="G42" s="279"/>
      <c r="H42" s="279"/>
      <c r="I42" s="279"/>
      <c r="J42" s="279"/>
      <c r="K42" s="279"/>
      <c r="L42" s="279"/>
      <c r="M42" s="280"/>
    </row>
    <row r="43" spans="2:13" ht="18" thickTop="1">
      <c r="B43" s="275"/>
      <c r="C43" s="276"/>
      <c r="D43" s="58" t="s">
        <v>0</v>
      </c>
      <c r="E43" s="58" t="s">
        <v>1</v>
      </c>
      <c r="F43" s="58" t="s">
        <v>2</v>
      </c>
      <c r="G43" s="58" t="s">
        <v>3</v>
      </c>
      <c r="H43" s="58" t="s">
        <v>8</v>
      </c>
      <c r="I43" s="58" t="s">
        <v>9</v>
      </c>
      <c r="J43" s="58" t="s">
        <v>10</v>
      </c>
      <c r="K43" s="58" t="s">
        <v>11</v>
      </c>
      <c r="L43" s="58" t="s">
        <v>12</v>
      </c>
      <c r="M43" s="59" t="s">
        <v>13</v>
      </c>
    </row>
    <row r="44" spans="2:13">
      <c r="B44" s="269" t="s">
        <v>27</v>
      </c>
      <c r="C44" s="270"/>
      <c r="D44" s="40">
        <f t="shared" ref="D44:M44" si="12">SUM(D21:D25)*D28*D36</f>
        <v>394153333.33333343</v>
      </c>
      <c r="E44" s="40">
        <f t="shared" si="12"/>
        <v>344884166.66666669</v>
      </c>
      <c r="F44" s="40">
        <f t="shared" si="12"/>
        <v>147807500</v>
      </c>
      <c r="G44" s="40">
        <f t="shared" si="12"/>
        <v>98538333.333333358</v>
      </c>
      <c r="H44" s="40">
        <f t="shared" si="12"/>
        <v>578912708.33333337</v>
      </c>
      <c r="I44" s="40">
        <f t="shared" si="12"/>
        <v>566595416.66666675</v>
      </c>
      <c r="J44" s="40">
        <f t="shared" si="12"/>
        <v>480374375</v>
      </c>
      <c r="K44" s="40">
        <f t="shared" si="12"/>
        <v>455739791.66666681</v>
      </c>
      <c r="L44" s="40">
        <f t="shared" si="12"/>
        <v>468057083.33333331</v>
      </c>
      <c r="M44" s="41">
        <f t="shared" si="12"/>
        <v>381836041.66666669</v>
      </c>
    </row>
    <row r="45" spans="2:13">
      <c r="B45" s="269" t="s">
        <v>28</v>
      </c>
      <c r="C45" s="270"/>
      <c r="D45" s="40">
        <f t="shared" ref="D45:M45" si="13">SUM(D22:D25)*D29*D37</f>
        <v>1353400000.0000002</v>
      </c>
      <c r="E45" s="40">
        <f t="shared" si="13"/>
        <v>1184225000.0000002</v>
      </c>
      <c r="F45" s="40">
        <f t="shared" si="13"/>
        <v>507525000</v>
      </c>
      <c r="G45" s="40">
        <f t="shared" si="13"/>
        <v>338350000.00000006</v>
      </c>
      <c r="H45" s="40">
        <f t="shared" si="13"/>
        <v>1987806250.0000002</v>
      </c>
      <c r="I45" s="40">
        <f t="shared" si="13"/>
        <v>1945512500.0000002</v>
      </c>
      <c r="J45" s="40">
        <f t="shared" si="13"/>
        <v>1649456250</v>
      </c>
      <c r="K45" s="40">
        <f t="shared" si="13"/>
        <v>1564868750.0000002</v>
      </c>
      <c r="L45" s="40">
        <f t="shared" si="13"/>
        <v>1607162500.0000002</v>
      </c>
      <c r="M45" s="41">
        <f t="shared" si="13"/>
        <v>1311106250.0000002</v>
      </c>
    </row>
    <row r="46" spans="2:13">
      <c r="B46" s="269" t="s">
        <v>29</v>
      </c>
      <c r="C46" s="270"/>
      <c r="D46" s="40">
        <f t="shared" ref="D46:M46" si="14">SUM(D23:D25)*D30*D38</f>
        <v>1822166666.6666672</v>
      </c>
      <c r="E46" s="40">
        <f t="shared" si="14"/>
        <v>1594395833.3333337</v>
      </c>
      <c r="F46" s="40">
        <f t="shared" si="14"/>
        <v>683312500</v>
      </c>
      <c r="G46" s="40">
        <f t="shared" si="14"/>
        <v>455541666.66666681</v>
      </c>
      <c r="H46" s="40">
        <f t="shared" si="14"/>
        <v>2676307291.666667</v>
      </c>
      <c r="I46" s="40">
        <f t="shared" si="14"/>
        <v>2619364583.3333335</v>
      </c>
      <c r="J46" s="40">
        <f t="shared" si="14"/>
        <v>2220765625</v>
      </c>
      <c r="K46" s="40">
        <f t="shared" si="14"/>
        <v>2106880208.3333337</v>
      </c>
      <c r="L46" s="40">
        <f t="shared" si="14"/>
        <v>2163822916.666667</v>
      </c>
      <c r="M46" s="41">
        <f t="shared" si="14"/>
        <v>1765223958.3333337</v>
      </c>
    </row>
    <row r="47" spans="2:13">
      <c r="B47" s="269" t="s">
        <v>30</v>
      </c>
      <c r="C47" s="270"/>
      <c r="D47" s="40">
        <f t="shared" ref="D47:M47" si="15">SUM(D24:D25)*D31*D39</f>
        <v>1470233333.3333337</v>
      </c>
      <c r="E47" s="40">
        <f t="shared" si="15"/>
        <v>1286454166.666667</v>
      </c>
      <c r="F47" s="40">
        <f t="shared" si="15"/>
        <v>551337500.00000012</v>
      </c>
      <c r="G47" s="40">
        <f t="shared" si="15"/>
        <v>367558333.33333343</v>
      </c>
      <c r="H47" s="40">
        <f t="shared" si="15"/>
        <v>2159405208.333334</v>
      </c>
      <c r="I47" s="40">
        <f t="shared" si="15"/>
        <v>2113460416.666667</v>
      </c>
      <c r="J47" s="40">
        <f t="shared" si="15"/>
        <v>1791846875.0000002</v>
      </c>
      <c r="K47" s="40">
        <f t="shared" si="15"/>
        <v>1699957291.666667</v>
      </c>
      <c r="L47" s="40">
        <f t="shared" si="15"/>
        <v>1745902083.3333337</v>
      </c>
      <c r="M47" s="41">
        <f t="shared" si="15"/>
        <v>1424288541.666667</v>
      </c>
    </row>
    <row r="48" spans="2:13">
      <c r="B48" s="269" t="s">
        <v>31</v>
      </c>
      <c r="C48" s="270"/>
      <c r="D48" s="40">
        <f t="shared" ref="D48:M48" si="16">D25*D32*D40</f>
        <v>1068333333.3333338</v>
      </c>
      <c r="E48" s="40">
        <f t="shared" si="16"/>
        <v>934791666.66666722</v>
      </c>
      <c r="F48" s="40">
        <f t="shared" si="16"/>
        <v>400625000.00000024</v>
      </c>
      <c r="G48" s="40">
        <f t="shared" si="16"/>
        <v>267083333.33333346</v>
      </c>
      <c r="H48" s="40">
        <f t="shared" si="16"/>
        <v>1569114583.333334</v>
      </c>
      <c r="I48" s="40">
        <f t="shared" si="16"/>
        <v>1535729166.6666675</v>
      </c>
      <c r="J48" s="40">
        <f t="shared" si="16"/>
        <v>1302031250.0000007</v>
      </c>
      <c r="K48" s="40">
        <f>K25*K32*K40</f>
        <v>1235260416.6666675</v>
      </c>
      <c r="L48" s="40">
        <f t="shared" si="16"/>
        <v>1268645833.333334</v>
      </c>
      <c r="M48" s="41">
        <f t="shared" si="16"/>
        <v>1034947916.6666672</v>
      </c>
    </row>
    <row r="49" spans="2:13" ht="18" thickBot="1">
      <c r="B49" s="277">
        <v>5</v>
      </c>
      <c r="C49" s="278"/>
      <c r="D49" s="46">
        <f>D25*D33*D41</f>
        <v>0</v>
      </c>
      <c r="E49" s="46">
        <f>E25*E33*E41</f>
        <v>0</v>
      </c>
      <c r="F49" s="46">
        <f t="shared" ref="F49:M49" si="17">F25*F33*F41</f>
        <v>0</v>
      </c>
      <c r="G49" s="46">
        <f t="shared" si="17"/>
        <v>0</v>
      </c>
      <c r="H49" s="46">
        <f t="shared" si="17"/>
        <v>0</v>
      </c>
      <c r="I49" s="46">
        <f t="shared" si="17"/>
        <v>0</v>
      </c>
      <c r="J49" s="46">
        <f t="shared" si="17"/>
        <v>0</v>
      </c>
      <c r="K49" s="46">
        <f t="shared" si="17"/>
        <v>0</v>
      </c>
      <c r="L49" s="46">
        <f t="shared" si="17"/>
        <v>0</v>
      </c>
      <c r="M49" s="52">
        <f t="shared" si="17"/>
        <v>0</v>
      </c>
    </row>
    <row r="50" spans="2:13" ht="18.600000000000001" thickTop="1" thickBot="1">
      <c r="B50" s="267" t="s">
        <v>21</v>
      </c>
      <c r="C50" s="268"/>
      <c r="D50" s="50">
        <f>SUM(D44:D49)</f>
        <v>6108286666.6666689</v>
      </c>
      <c r="E50" s="50">
        <f>SUM(E44:E49)</f>
        <v>5344750833.3333349</v>
      </c>
      <c r="F50" s="50">
        <f t="shared" ref="F50:M50" si="18">SUM(F44:F49)</f>
        <v>2290607500</v>
      </c>
      <c r="G50" s="50">
        <f t="shared" si="18"/>
        <v>1527071666.6666672</v>
      </c>
      <c r="H50" s="50">
        <f t="shared" si="18"/>
        <v>8971546041.6666679</v>
      </c>
      <c r="I50" s="50">
        <f t="shared" si="18"/>
        <v>8780662083.333334</v>
      </c>
      <c r="J50" s="50">
        <f t="shared" si="18"/>
        <v>7444474375.000001</v>
      </c>
      <c r="K50" s="50">
        <f t="shared" si="18"/>
        <v>7062706458.3333359</v>
      </c>
      <c r="L50" s="50">
        <f t="shared" si="18"/>
        <v>7253590416.6666679</v>
      </c>
      <c r="M50" s="51">
        <f t="shared" si="18"/>
        <v>5917402708.3333349</v>
      </c>
    </row>
    <row r="51" spans="2:13" ht="18.600000000000001" thickTop="1" thickBot="1">
      <c r="B51" s="27"/>
      <c r="C51" s="28"/>
      <c r="D51" s="28"/>
      <c r="E51" s="28"/>
      <c r="F51" s="28"/>
      <c r="G51" s="28"/>
      <c r="H51" s="28"/>
      <c r="I51" s="28"/>
      <c r="J51" s="28"/>
      <c r="K51" s="28"/>
      <c r="L51" s="53" t="s">
        <v>34</v>
      </c>
      <c r="M51" s="47">
        <f>SUM(D50:M50)</f>
        <v>60701098750.000008</v>
      </c>
    </row>
    <row r="100" spans="4:13">
      <c r="D100" s="31">
        <f>5%-0.007*LOG10(파라미터!$Q$18)-파라미터!$Q$19*0.01</f>
        <v>1.7000000000000001E-2</v>
      </c>
      <c r="E100" s="31">
        <f>5%-0.007*LOG10(파라미터!$Q$18)-파라미터!$Q$19*0.01</f>
        <v>1.7000000000000001E-2</v>
      </c>
      <c r="F100" s="31">
        <f>5%-0.007*LOG10(파라미터!$Q$18)-파라미터!$Q$19*0.01</f>
        <v>1.7000000000000001E-2</v>
      </c>
      <c r="G100" s="31">
        <f>5%-0.007*LOG10(파라미터!$Q$18)-파라미터!$Q$19*0.01</f>
        <v>1.7000000000000001E-2</v>
      </c>
      <c r="H100" s="31">
        <f>5%-0.007*LOG10(파라미터!$Q$18)-파라미터!$Q$19*0.01</f>
        <v>1.7000000000000001E-2</v>
      </c>
      <c r="I100" s="31">
        <f>5%-0.007*LOG10(파라미터!$Q$18)-파라미터!$Q$19*0.01</f>
        <v>1.7000000000000001E-2</v>
      </c>
      <c r="J100" s="31">
        <f>5%-0.007*LOG10(파라미터!$Q$18)-파라미터!$Q$19*0.01</f>
        <v>1.7000000000000001E-2</v>
      </c>
      <c r="K100" s="31">
        <f>5%-0.007*LOG10(파라미터!$Q$18)-파라미터!$Q$19*0.01</f>
        <v>1.7000000000000001E-2</v>
      </c>
      <c r="L100" s="31">
        <f>5%-0.007*LOG10(파라미터!$Q$18)-파라미터!$Q$19*0.01</f>
        <v>1.7000000000000001E-2</v>
      </c>
      <c r="M100" s="32">
        <f>5%-0.007*LOG10(파라미터!$Q$18)-파라미터!$Q$19*0.01</f>
        <v>1.7000000000000001E-2</v>
      </c>
    </row>
    <row r="101" spans="4:13">
      <c r="D101" s="31">
        <f>10%-0.003*LOG10(파라미터!$Q$18)-파라미터!$Q$19*0.005</f>
        <v>8.5500000000000007E-2</v>
      </c>
      <c r="E101" s="31">
        <f>10%-0.003*LOG10(파라미터!$Q$18)-파라미터!$Q$19*0.005</f>
        <v>8.5500000000000007E-2</v>
      </c>
      <c r="F101" s="31">
        <f>10%-0.003*LOG10(파라미터!$Q$18)-파라미터!$Q$19*0.005</f>
        <v>8.5500000000000007E-2</v>
      </c>
      <c r="G101" s="31">
        <f>10%-0.003*LOG10(파라미터!$Q$18)-파라미터!$Q$19*0.005</f>
        <v>8.5500000000000007E-2</v>
      </c>
      <c r="H101" s="31">
        <f>10%-0.003*LOG10(파라미터!$Q$18)-파라미터!$Q$19*0.005</f>
        <v>8.5500000000000007E-2</v>
      </c>
      <c r="I101" s="31">
        <f>10%-0.003*LOG10(파라미터!$Q$18)-파라미터!$Q$19*0.005</f>
        <v>8.5500000000000007E-2</v>
      </c>
      <c r="J101" s="31">
        <f>10%-0.003*LOG10(파라미터!$Q$18)-파라미터!$Q$19*0.005</f>
        <v>8.5500000000000007E-2</v>
      </c>
      <c r="K101" s="31">
        <f>10%-0.003*LOG10(파라미터!$Q$18)-파라미터!$Q$19*0.005</f>
        <v>8.5500000000000007E-2</v>
      </c>
      <c r="L101" s="31">
        <f>10%-0.003*LOG10(파라미터!$Q$18)-파라미터!$Q$19*0.005</f>
        <v>8.5500000000000007E-2</v>
      </c>
      <c r="M101" s="32">
        <f>10%-0.003*LOG10(파라미터!$Q$18)-파라미터!$Q$19*0.005</f>
        <v>8.5500000000000007E-2</v>
      </c>
    </row>
    <row r="102" spans="4:13">
      <c r="D102" s="31">
        <f>30%+0.002*LOG10(파라미터!$Q$18)+파라미터!$Q$19*0.1</f>
        <v>0.35799999999999998</v>
      </c>
      <c r="E102" s="31">
        <f>30%+0.002*LOG10(파라미터!$Q$18)+파라미터!$Q$19*0.1</f>
        <v>0.35799999999999998</v>
      </c>
      <c r="F102" s="31">
        <f>30%+0.002*LOG10(파라미터!$Q$18)+파라미터!$Q$19*0.1</f>
        <v>0.35799999999999998</v>
      </c>
      <c r="G102" s="31">
        <f>30%+0.002*LOG10(파라미터!$Q$18)+파라미터!$Q$19*0.1</f>
        <v>0.35799999999999998</v>
      </c>
      <c r="H102" s="31">
        <f>30%+0.002*LOG10(파라미터!$Q$18)+파라미터!$Q$19*0.1</f>
        <v>0.35799999999999998</v>
      </c>
      <c r="I102" s="31">
        <f>30%+0.002*LOG10(파라미터!$Q$18)+파라미터!$Q$19*0.1</f>
        <v>0.35799999999999998</v>
      </c>
      <c r="J102" s="31">
        <f>30%+0.002*LOG10(파라미터!$Q$18)+파라미터!$Q$19*0.1</f>
        <v>0.35799999999999998</v>
      </c>
      <c r="K102" s="31">
        <f>30%+0.002*LOG10(파라미터!$Q$18)+파라미터!$Q$19*0.1</f>
        <v>0.35799999999999998</v>
      </c>
      <c r="L102" s="31">
        <f>30%+0.002*LOG10(파라미터!$Q$18)+파라미터!$Q$19*0.1</f>
        <v>0.35799999999999998</v>
      </c>
      <c r="M102" s="32">
        <f>30%+0.002*LOG10(파라미터!$Q$18)+파라미터!$Q$19*0.1</f>
        <v>0.35799999999999998</v>
      </c>
    </row>
    <row r="103" spans="4:13">
      <c r="D103" s="31">
        <f>30%+0.001*LOG10(파라미터!$Q$18)+파라미터!$Q$19*0.07</f>
        <v>0.33899999999999997</v>
      </c>
      <c r="E103" s="31">
        <f>30%+0.001*LOG10(파라미터!$Q$18)+파라미터!$Q$19*0.07</f>
        <v>0.33899999999999997</v>
      </c>
      <c r="F103" s="31">
        <f>30%+0.001*LOG10(파라미터!$Q$18)+파라미터!$Q$19*0.07</f>
        <v>0.33899999999999997</v>
      </c>
      <c r="G103" s="31">
        <f>30%+0.001*LOG10(파라미터!$Q$18)+파라미터!$Q$19*0.07</f>
        <v>0.33899999999999997</v>
      </c>
      <c r="H103" s="31">
        <f>30%+0.001*LOG10(파라미터!$Q$18)+파라미터!$Q$19*0.07</f>
        <v>0.33899999999999997</v>
      </c>
      <c r="I103" s="31">
        <f>30%+0.001*LOG10(파라미터!$Q$18)+파라미터!$Q$19*0.07</f>
        <v>0.33899999999999997</v>
      </c>
      <c r="J103" s="31">
        <f>30%+0.001*LOG10(파라미터!$Q$18)+파라미터!$Q$19*0.07</f>
        <v>0.33899999999999997</v>
      </c>
      <c r="K103" s="31">
        <f>30%+0.001*LOG10(파라미터!$Q$18)+파라미터!$Q$19*0.07</f>
        <v>0.33899999999999997</v>
      </c>
      <c r="L103" s="31">
        <f>30%+0.001*LOG10(파라미터!$Q$18)+파라미터!$Q$19*0.07</f>
        <v>0.33899999999999997</v>
      </c>
      <c r="M103" s="32">
        <f>30%+0.001*LOG10(파라미터!$Q$18)+파라미터!$Q$19*0.07</f>
        <v>0.33899999999999997</v>
      </c>
    </row>
    <row r="104" spans="4:13">
      <c r="D104" s="31">
        <f>15%+0.001*LOG10(파라미터!$Q$18)+파라미터!$Q$19*0.01</f>
        <v>0.159</v>
      </c>
      <c r="E104" s="31">
        <f>15%+0.001*LOG10(파라미터!$Q$18)+파라미터!$Q$19*0.01</f>
        <v>0.159</v>
      </c>
      <c r="F104" s="31">
        <f>15%+0.001*LOG10(파라미터!$Q$18)+파라미터!$Q$19*0.01</f>
        <v>0.159</v>
      </c>
      <c r="G104" s="31">
        <f>15%+0.001*LOG10(파라미터!$Q$18)+파라미터!$Q$19*0.01</f>
        <v>0.159</v>
      </c>
      <c r="H104" s="31">
        <f>15%+0.001*LOG10(파라미터!$Q$18)+파라미터!$Q$19*0.01</f>
        <v>0.159</v>
      </c>
      <c r="I104" s="31">
        <f>15%+0.001*LOG10(파라미터!$Q$18)+파라미터!$Q$19*0.01</f>
        <v>0.159</v>
      </c>
      <c r="J104" s="31">
        <f>15%+0.001*LOG10(파라미터!$Q$18)+파라미터!$Q$19*0.01</f>
        <v>0.159</v>
      </c>
      <c r="K104" s="31">
        <f>15%+0.001*LOG10(파라미터!$Q$18)+파라미터!$Q$19*0.01</f>
        <v>0.159</v>
      </c>
      <c r="L104" s="31">
        <f>15%+0.001*LOG10(파라미터!$Q$18)+파라미터!$Q$19*0.01</f>
        <v>0.159</v>
      </c>
      <c r="M104" s="32">
        <f>15%+0.001*LOG10(파라미터!$Q$18)+파라미터!$Q$19*0.01</f>
        <v>0.159</v>
      </c>
    </row>
    <row r="105" spans="4:13">
      <c r="D105" s="33">
        <f>5%+0.0002*LOG10(파라미터!$Q$18)+파라미터!$Q$19*0.01</f>
        <v>5.5800000000000002E-2</v>
      </c>
      <c r="E105" s="33">
        <f>5%+0.0002*LOG10(파라미터!$Q$18)+파라미터!$Q$19*0.01</f>
        <v>5.5800000000000002E-2</v>
      </c>
      <c r="F105" s="33">
        <f>5%+0.0002*LOG10(파라미터!$Q$18)+파라미터!$Q$19*0.01</f>
        <v>5.5800000000000002E-2</v>
      </c>
      <c r="G105" s="33">
        <f>5%+0.0002*LOG10(파라미터!$Q$18)+파라미터!$Q$19*0.01</f>
        <v>5.5800000000000002E-2</v>
      </c>
      <c r="H105" s="33">
        <f>5%+0.0002*LOG10(파라미터!$Q$18)+파라미터!$Q$19*0.01</f>
        <v>5.5800000000000002E-2</v>
      </c>
      <c r="I105" s="33">
        <f>5%+0.0002*LOG10(파라미터!$Q$18)+파라미터!$Q$19*0.01</f>
        <v>5.5800000000000002E-2</v>
      </c>
      <c r="J105" s="33">
        <f>5%+0.0002*LOG10(파라미터!$Q$18)+파라미터!$Q$19*0.01</f>
        <v>5.5800000000000002E-2</v>
      </c>
      <c r="K105" s="33">
        <f>5%+0.0002*LOG10(파라미터!$Q$18)+파라미터!$Q$19*0.01</f>
        <v>5.5800000000000002E-2</v>
      </c>
      <c r="L105" s="33">
        <f>5%+0.0002*LOG10(파라미터!$Q$18)+파라미터!$Q$19*0.01</f>
        <v>5.5800000000000002E-2</v>
      </c>
      <c r="M105" s="34">
        <f>5%+0.0002*LOG10(파라미터!$Q$18)+파라미터!$Q$19*0.01</f>
        <v>5.5800000000000002E-2</v>
      </c>
    </row>
  </sheetData>
  <mergeCells count="45">
    <mergeCell ref="B8:C8"/>
    <mergeCell ref="B2:C3"/>
    <mergeCell ref="D2:M2"/>
    <mergeCell ref="B20:C20"/>
    <mergeCell ref="B9:C10"/>
    <mergeCell ref="D9:M9"/>
    <mergeCell ref="B11:C11"/>
    <mergeCell ref="B12:C12"/>
    <mergeCell ref="B13:C13"/>
    <mergeCell ref="B14:C14"/>
    <mergeCell ref="B15:C15"/>
    <mergeCell ref="B16:C16"/>
    <mergeCell ref="B18:C19"/>
    <mergeCell ref="D18:M18"/>
    <mergeCell ref="B17:C17"/>
    <mergeCell ref="B32:C32"/>
    <mergeCell ref="B21:C21"/>
    <mergeCell ref="B22:C22"/>
    <mergeCell ref="B23:C23"/>
    <mergeCell ref="B24:C24"/>
    <mergeCell ref="B25:C25"/>
    <mergeCell ref="B26:C27"/>
    <mergeCell ref="D26:M26"/>
    <mergeCell ref="B28:C28"/>
    <mergeCell ref="B29:C29"/>
    <mergeCell ref="B30:C30"/>
    <mergeCell ref="B31:C31"/>
    <mergeCell ref="D42:M42"/>
    <mergeCell ref="B44:C44"/>
    <mergeCell ref="B33:C33"/>
    <mergeCell ref="B34:C35"/>
    <mergeCell ref="D34:M34"/>
    <mergeCell ref="B36:C36"/>
    <mergeCell ref="B37:C37"/>
    <mergeCell ref="B38:C38"/>
    <mergeCell ref="B50:C50"/>
    <mergeCell ref="B39:C39"/>
    <mergeCell ref="B40:C40"/>
    <mergeCell ref="B41:C41"/>
    <mergeCell ref="B42:C43"/>
    <mergeCell ref="B45:C45"/>
    <mergeCell ref="B46:C46"/>
    <mergeCell ref="B47:C47"/>
    <mergeCell ref="B48:C48"/>
    <mergeCell ref="B49:C4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07C1-C191-43F9-8BFC-6B2EE2A012E0}">
  <sheetPr codeName="Sheet2"/>
  <dimension ref="A1:L64"/>
  <sheetViews>
    <sheetView zoomScale="130" zoomScaleNormal="130" workbookViewId="0">
      <selection activeCell="D43" sqref="D43"/>
    </sheetView>
  </sheetViews>
  <sheetFormatPr defaultColWidth="9" defaultRowHeight="17.399999999999999"/>
  <cols>
    <col min="1" max="1" width="6.5" style="21" bestFit="1" customWidth="1"/>
    <col min="2" max="2" width="21.3984375" style="21" bestFit="1" customWidth="1"/>
    <col min="3" max="3" width="9.5" style="21" bestFit="1" customWidth="1"/>
    <col min="4" max="4" width="21.3984375" style="21" bestFit="1" customWidth="1"/>
    <col min="5" max="5" width="15.59765625" style="21" bestFit="1" customWidth="1"/>
    <col min="6" max="6" width="17.19921875" style="21" bestFit="1" customWidth="1"/>
    <col min="7" max="16384" width="9" style="21"/>
  </cols>
  <sheetData>
    <row r="1" spans="1:12" ht="18" thickBot="1"/>
    <row r="2" spans="1:12" ht="16.5" customHeight="1">
      <c r="A2" s="24" t="s">
        <v>40</v>
      </c>
      <c r="B2" s="287" t="s">
        <v>82</v>
      </c>
      <c r="C2" s="288"/>
      <c r="D2" s="288"/>
      <c r="E2" s="289"/>
      <c r="F2" s="22"/>
      <c r="G2" s="22"/>
      <c r="H2" s="22"/>
      <c r="I2" s="22"/>
      <c r="J2" s="22"/>
      <c r="K2" s="22"/>
      <c r="L2" s="22"/>
    </row>
    <row r="3" spans="1:12" ht="16.5" customHeight="1" thickBot="1">
      <c r="A3" s="24"/>
      <c r="B3" s="290"/>
      <c r="C3" s="291"/>
      <c r="D3" s="291"/>
      <c r="E3" s="292"/>
      <c r="F3" s="22"/>
      <c r="G3" s="22"/>
      <c r="H3" s="22"/>
      <c r="I3" s="22"/>
      <c r="J3" s="22"/>
      <c r="K3" s="22"/>
      <c r="L3" s="22"/>
    </row>
    <row r="4" spans="1:12" ht="16.5" customHeight="1" thickBot="1">
      <c r="B4" s="206" t="s">
        <v>120</v>
      </c>
      <c r="C4" s="198" t="s">
        <v>39</v>
      </c>
      <c r="D4" s="198" t="s">
        <v>121</v>
      </c>
      <c r="E4" s="199" t="s">
        <v>122</v>
      </c>
      <c r="F4" s="22"/>
      <c r="G4" s="22"/>
      <c r="H4" s="22"/>
      <c r="I4" s="22"/>
      <c r="J4" s="22"/>
      <c r="K4" s="22"/>
      <c r="L4" s="22"/>
    </row>
    <row r="5" spans="1:12" ht="18" thickTop="1">
      <c r="B5" s="60">
        <v>0</v>
      </c>
      <c r="C5" s="89">
        <v>2.2580840843064744E-2</v>
      </c>
      <c r="D5" s="61">
        <f>파라미터!$Q$8*C5*B5</f>
        <v>0</v>
      </c>
      <c r="E5" s="62">
        <f>D5*파라미터!$U$19*파라미터!$U$20</f>
        <v>0</v>
      </c>
      <c r="F5" s="22"/>
      <c r="G5" s="22"/>
      <c r="H5" s="22"/>
      <c r="I5" s="22"/>
      <c r="J5" s="22"/>
      <c r="K5" s="22"/>
      <c r="L5" s="22"/>
    </row>
    <row r="6" spans="1:12">
      <c r="B6" s="30">
        <v>1</v>
      </c>
      <c r="C6" s="90">
        <v>4.4309151341046536E-2</v>
      </c>
      <c r="D6" s="35">
        <f>파라미터!$Q$8*C6*B6</f>
        <v>2215.4575670523268</v>
      </c>
      <c r="E6" s="41">
        <f>D6*파라미터!$U$19*파라미터!$U$20</f>
        <v>11077287.835261634</v>
      </c>
      <c r="F6" s="22"/>
      <c r="G6" s="22"/>
      <c r="H6" s="22"/>
      <c r="I6" s="22"/>
      <c r="J6" s="22"/>
      <c r="K6" s="22"/>
      <c r="L6" s="22"/>
    </row>
    <row r="7" spans="1:12">
      <c r="B7" s="30">
        <v>2</v>
      </c>
      <c r="C7" s="90">
        <v>4.278843214102266E-2</v>
      </c>
      <c r="D7" s="35">
        <f>파라미터!$Q$8*C7*B7</f>
        <v>4278.8432141022658</v>
      </c>
      <c r="E7" s="41">
        <f>D7*파라미터!$U$19*파라미터!$U$20</f>
        <v>21394216.070511326</v>
      </c>
      <c r="F7" s="22"/>
      <c r="G7" s="22"/>
      <c r="H7" s="22"/>
      <c r="I7" s="22"/>
      <c r="J7" s="22"/>
      <c r="K7" s="22"/>
      <c r="L7" s="22"/>
    </row>
    <row r="8" spans="1:12">
      <c r="B8" s="30">
        <v>3</v>
      </c>
      <c r="C8" s="90">
        <v>0.10934536694781379</v>
      </c>
      <c r="D8" s="35">
        <f>파라미터!$Q$8*C8*B8</f>
        <v>16401.805042172069</v>
      </c>
      <c r="E8" s="41">
        <f>D8*파라미터!$U$19*파라미터!$U$20</f>
        <v>82009025.210860342</v>
      </c>
      <c r="F8" s="22"/>
      <c r="G8" s="22"/>
      <c r="H8" s="22"/>
      <c r="I8" s="22"/>
      <c r="J8" s="22"/>
      <c r="K8" s="22"/>
      <c r="L8" s="22"/>
    </row>
    <row r="9" spans="1:12">
      <c r="B9" s="30">
        <v>4</v>
      </c>
      <c r="C9" s="91">
        <v>0.13269868704388696</v>
      </c>
      <c r="D9" s="35">
        <f>파라미터!$Q$8*C9*B9</f>
        <v>26539.737408777393</v>
      </c>
      <c r="E9" s="41">
        <f>D9*파라미터!$U$19*파라미터!$U$20</f>
        <v>132698687.04388696</v>
      </c>
    </row>
    <row r="10" spans="1:12">
      <c r="B10" s="30">
        <v>5</v>
      </c>
      <c r="C10" s="91">
        <v>0.16408795168494711</v>
      </c>
      <c r="D10" s="35">
        <f>파라미터!$Q$8*C10*B10</f>
        <v>41021.987921236781</v>
      </c>
      <c r="E10" s="41">
        <f>D10*파라미터!$U$19*파라미터!$U$20</f>
        <v>205109939.60618392</v>
      </c>
    </row>
    <row r="11" spans="1:12">
      <c r="B11" s="30">
        <v>6</v>
      </c>
      <c r="C11" s="90">
        <v>0.23308408404426822</v>
      </c>
      <c r="D11" s="35">
        <f>파라미터!$Q$8*C11*B11</f>
        <v>69925.225213280472</v>
      </c>
      <c r="E11" s="41">
        <f>D11*파라미터!$U$19*파라미터!$U$20</f>
        <v>349626126.06640232</v>
      </c>
    </row>
    <row r="12" spans="1:12">
      <c r="B12" s="30">
        <v>7</v>
      </c>
      <c r="C12" s="91">
        <v>0.11711184221111612</v>
      </c>
      <c r="D12" s="35">
        <f>파라미터!$Q$8*C12*B12</f>
        <v>40989.144773890643</v>
      </c>
      <c r="E12" s="41">
        <f>D12*파라미터!$U$19*파라미터!$U$20</f>
        <v>204945723.86945322</v>
      </c>
    </row>
    <row r="13" spans="1:12">
      <c r="B13" s="30">
        <v>8</v>
      </c>
      <c r="C13" s="90">
        <v>5.8027960552779034E-2</v>
      </c>
      <c r="D13" s="35">
        <f>파라미터!$Q$8*C13*B13</f>
        <v>23211.184221111613</v>
      </c>
      <c r="E13" s="41">
        <f>D13*파라미터!$U$19*파라미터!$U$20</f>
        <v>116055921.10555807</v>
      </c>
    </row>
    <row r="14" spans="1:12">
      <c r="B14" s="30">
        <v>9</v>
      </c>
      <c r="C14" s="90">
        <v>4.3802165115193088E-2</v>
      </c>
      <c r="D14" s="35">
        <f>파라미터!$Q$8*C14*B14</f>
        <v>19710.97430183689</v>
      </c>
      <c r="E14" s="41">
        <f>D14*파라미터!$U$19*파라미터!$U$20</f>
        <v>98554871.50918445</v>
      </c>
    </row>
    <row r="15" spans="1:12" ht="18" thickBot="1">
      <c r="B15" s="63">
        <v>10</v>
      </c>
      <c r="C15" s="92">
        <v>3.2163518074856193E-2</v>
      </c>
      <c r="D15" s="37">
        <f>파라미터!$Q$8*C15*B15</f>
        <v>16081.759037428095</v>
      </c>
      <c r="E15" s="64">
        <f>D15*파라미터!$U$19*파라미터!$U$20</f>
        <v>80408795.18714048</v>
      </c>
    </row>
    <row r="16" spans="1:12" ht="18.600000000000001" thickTop="1" thickBot="1">
      <c r="B16" s="65" t="s">
        <v>21</v>
      </c>
      <c r="C16" s="66">
        <f>SUM(C5:C15)</f>
        <v>0.99999999999999456</v>
      </c>
      <c r="D16" s="67">
        <f>SUM(D5:D15)</f>
        <v>260376.11870088856</v>
      </c>
      <c r="E16" s="68">
        <f>SUM(E5:E15)</f>
        <v>1301880593.5044427</v>
      </c>
    </row>
    <row r="32" spans="1:4">
      <c r="A32" s="201">
        <v>2.2580840843064744E-2</v>
      </c>
      <c r="B32" s="202">
        <f xml:space="preserve"> 0 * A32*파라미터!$R$8*파라미터!$V$19*파라미터!$V$20</f>
        <v>0</v>
      </c>
      <c r="D32" s="25">
        <f xml:space="preserve"> 0 * A32*파라미터!$R$8</f>
        <v>0</v>
      </c>
    </row>
    <row r="33" spans="1:7">
      <c r="A33" s="201">
        <v>4.4309151341046536E-2</v>
      </c>
      <c r="B33" s="202">
        <f xml:space="preserve"> 1 * A33*파라미터!$R$8*파라미터!$V$19*파라미터!$V$20</f>
        <v>11077287.835261634</v>
      </c>
      <c r="D33" s="25">
        <f xml:space="preserve"> 1 * A33*파라미터!$R$8</f>
        <v>2215.4575670523268</v>
      </c>
      <c r="E33" s="200"/>
    </row>
    <row r="34" spans="1:7">
      <c r="A34" s="201">
        <v>4.278843214102266E-2</v>
      </c>
      <c r="B34" s="203">
        <f xml:space="preserve"> 2 * A34*파라미터!$R$8*파라미터!$V$19*파라미터!$V$20</f>
        <v>21394216.070511326</v>
      </c>
      <c r="C34" s="89">
        <f>3%-0.05*파라미터!$U$27</f>
        <v>2.2499999999999999E-2</v>
      </c>
      <c r="D34" s="25">
        <f xml:space="preserve"> 2 * A34*파라미터!$R$8</f>
        <v>4278.8432141022658</v>
      </c>
      <c r="E34" s="200"/>
      <c r="F34" s="200"/>
      <c r="G34" s="200"/>
    </row>
    <row r="35" spans="1:7">
      <c r="A35" s="201">
        <v>0.10934536694781379</v>
      </c>
      <c r="B35" s="203">
        <f xml:space="preserve"> 3 * A35*파라미터!$R$8*파라미터!$V$19*파라미터!$V$20</f>
        <v>82009025.210860342</v>
      </c>
      <c r="C35" s="90">
        <f>5%-0.04*파라미터!$U$27</f>
        <v>4.4000000000000004E-2</v>
      </c>
      <c r="D35" s="25">
        <f xml:space="preserve"> 3 * A35*파라미터!$R$8</f>
        <v>16401.805042172069</v>
      </c>
      <c r="E35" s="200"/>
      <c r="F35" s="200"/>
      <c r="G35" s="200"/>
    </row>
    <row r="36" spans="1:7">
      <c r="A36" s="201">
        <v>0.13269868704388696</v>
      </c>
      <c r="B36" s="203">
        <f xml:space="preserve"> 4 * A36*파라미터!$R$8*파라미터!$V$19*파라미터!$V$20</f>
        <v>132698687.04388696</v>
      </c>
      <c r="C36" s="90">
        <f>5%-0.05*파라미터!$U$27</f>
        <v>4.2500000000000003E-2</v>
      </c>
      <c r="D36" s="25">
        <f xml:space="preserve"> 4 * A36*파라미터!$R$8</f>
        <v>26539.737408777393</v>
      </c>
      <c r="E36" s="200"/>
      <c r="F36" s="200"/>
      <c r="G36" s="200"/>
    </row>
    <row r="37" spans="1:7">
      <c r="A37" s="201">
        <v>0.16408795168494711</v>
      </c>
      <c r="B37" s="203">
        <f xml:space="preserve"> 5 * A37*파라미터!$R$8*파라미터!$V$19*파라미터!$V$20</f>
        <v>205109939.60618392</v>
      </c>
      <c r="C37" s="90">
        <f>10%+0.05*파라미터!$U$27</f>
        <v>0.10750000000000001</v>
      </c>
      <c r="D37" s="25">
        <f xml:space="preserve"> 5 * A37*파라미터!$R$8</f>
        <v>41021.987921236781</v>
      </c>
      <c r="E37" s="200"/>
      <c r="F37" s="200"/>
      <c r="G37" s="200"/>
    </row>
    <row r="38" spans="1:7">
      <c r="A38" s="201">
        <v>0.23308408404426822</v>
      </c>
      <c r="B38" s="203">
        <f xml:space="preserve"> 6 * A38*파라미터!$R$8*파라미터!$V$19*파라미터!$V$20</f>
        <v>349626126.06640226</v>
      </c>
      <c r="C38" s="91">
        <f>10%+0.2*파라미터!$U$27</f>
        <v>0.13</v>
      </c>
      <c r="D38" s="25">
        <f xml:space="preserve"> 6 * A38*파라미터!$R$8</f>
        <v>69925.225213280457</v>
      </c>
      <c r="E38" s="200"/>
      <c r="F38" s="200"/>
      <c r="G38" s="200"/>
    </row>
    <row r="39" spans="1:7">
      <c r="A39" s="201">
        <v>0.11711184221111612</v>
      </c>
      <c r="B39" s="203">
        <f xml:space="preserve"> 7 * A39*파라미터!$R$8*파라미터!$V$19*파라미터!$V$20</f>
        <v>204945723.86945322</v>
      </c>
      <c r="C39" s="91">
        <f>10%+0.4*파라미터!$U$27</f>
        <v>0.16</v>
      </c>
      <c r="D39" s="25">
        <f xml:space="preserve"> 7 * A39*파라미터!$R$8</f>
        <v>40989.144773890643</v>
      </c>
      <c r="E39" s="200"/>
      <c r="F39" s="200"/>
      <c r="G39" s="200"/>
    </row>
    <row r="40" spans="1:7">
      <c r="A40" s="201">
        <v>5.8027960552779034E-2</v>
      </c>
      <c r="B40" s="203">
        <f xml:space="preserve"> 8 * A40*파라미터!$R$8*파라미터!$V$19*파라미터!$V$20</f>
        <v>116055921.10555807</v>
      </c>
      <c r="C40" s="90">
        <f>15%+0.5*파라미터!$U$27</f>
        <v>0.22499999999999998</v>
      </c>
      <c r="D40" s="25">
        <f xml:space="preserve"> 8 * A40*파라미터!$R$8</f>
        <v>23211.184221111613</v>
      </c>
      <c r="E40" s="200"/>
      <c r="F40" s="200"/>
      <c r="G40" s="200"/>
    </row>
    <row r="41" spans="1:7">
      <c r="A41" s="201">
        <v>4.3802165115193088E-2</v>
      </c>
      <c r="B41" s="203">
        <f xml:space="preserve"> 9 * A41*파라미터!$R$8*파라미터!$V$19*파라미터!$V$20</f>
        <v>98554871.50918445</v>
      </c>
      <c r="C41" s="91">
        <f>10%+0.1*파라미터!$U$27</f>
        <v>0.115</v>
      </c>
      <c r="D41" s="25">
        <f xml:space="preserve"> 9 * A41*파라미터!$R$8</f>
        <v>19710.97430183689</v>
      </c>
      <c r="E41" s="200"/>
      <c r="F41" s="200"/>
      <c r="G41" s="200"/>
    </row>
    <row r="42" spans="1:7">
      <c r="A42" s="201">
        <v>3.2163518074856193E-2</v>
      </c>
      <c r="B42" s="203">
        <f xml:space="preserve"> 10 * A42*파라미터!$R$8*파라미터!$V$19*파라미터!$V$20</f>
        <v>80408795.18714048</v>
      </c>
      <c r="C42" s="90">
        <f>5%+0.05*파라미터!$U$27</f>
        <v>5.7500000000000002E-2</v>
      </c>
      <c r="D42" s="25">
        <f xml:space="preserve"> 10 * A42*파라미터!$R$8</f>
        <v>16081.759037428095</v>
      </c>
      <c r="E42" s="200"/>
      <c r="F42" s="200"/>
      <c r="G42" s="200"/>
    </row>
    <row r="43" spans="1:7">
      <c r="A43" s="201">
        <f>SUM($A$32:$A$42)</f>
        <v>0.99999999999999456</v>
      </c>
      <c r="B43" s="203">
        <f xml:space="preserve"> SUM($B$32:$B$42)</f>
        <v>1301880593.5044427</v>
      </c>
      <c r="C43" s="90">
        <f>3%+0.09*파라미터!$U$27</f>
        <v>4.3499999999999997E-2</v>
      </c>
      <c r="D43" s="25">
        <f xml:space="preserve"> SUM($D$32:$D$42)</f>
        <v>260376.11870088853</v>
      </c>
      <c r="E43" s="200"/>
      <c r="F43" s="200"/>
      <c r="G43" s="200"/>
    </row>
    <row r="44" spans="1:7" ht="18" thickBot="1">
      <c r="B44" s="200"/>
      <c r="C44" s="92">
        <f>2%+0.08*파라미터!$U$27</f>
        <v>3.2000000000000001E-2</v>
      </c>
      <c r="E44" s="200"/>
      <c r="F44" s="200"/>
      <c r="G44" s="200"/>
    </row>
    <row r="45" spans="1:7" ht="18" thickTop="1">
      <c r="B45" s="200"/>
      <c r="E45" s="200"/>
      <c r="F45" s="200"/>
      <c r="G45" s="200"/>
    </row>
    <row r="51" spans="3:3">
      <c r="C51" s="200"/>
    </row>
    <row r="52" spans="3:3">
      <c r="C52" s="200"/>
    </row>
    <row r="53" spans="3:3">
      <c r="C53" s="200"/>
    </row>
    <row r="54" spans="3:3">
      <c r="C54" s="200"/>
    </row>
    <row r="55" spans="3:3">
      <c r="C55" s="200"/>
    </row>
    <row r="56" spans="3:3">
      <c r="C56" s="200"/>
    </row>
    <row r="57" spans="3:3">
      <c r="C57" s="200"/>
    </row>
    <row r="58" spans="3:3">
      <c r="C58" s="200"/>
    </row>
    <row r="59" spans="3:3">
      <c r="C59" s="200"/>
    </row>
    <row r="60" spans="3:3">
      <c r="C60" s="200"/>
    </row>
    <row r="61" spans="3:3">
      <c r="C61" s="200"/>
    </row>
    <row r="62" spans="3:3">
      <c r="C62" s="200"/>
    </row>
    <row r="63" spans="3:3">
      <c r="C63" s="200"/>
    </row>
    <row r="64" spans="3:3">
      <c r="C64" s="200"/>
    </row>
  </sheetData>
  <mergeCells count="1">
    <mergeCell ref="B2:E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02FF6-F867-4D6F-AF5F-BFC554E1444A}">
  <sheetPr codeName="Sheet3"/>
  <dimension ref="B1:O16"/>
  <sheetViews>
    <sheetView zoomScale="115" zoomScaleNormal="115" workbookViewId="0">
      <selection activeCell="N13" sqref="N13"/>
    </sheetView>
  </sheetViews>
  <sheetFormatPr defaultColWidth="9" defaultRowHeight="17.399999999999999"/>
  <cols>
    <col min="1" max="1" width="4" style="21" customWidth="1"/>
    <col min="2" max="13" width="9" style="21"/>
    <col min="14" max="14" width="8.8984375" style="21" bestFit="1" customWidth="1"/>
    <col min="15" max="16" width="9" style="21"/>
    <col min="17" max="17" width="15.09765625" style="21" bestFit="1" customWidth="1"/>
    <col min="18" max="16384" width="9" style="21"/>
  </cols>
  <sheetData>
    <row r="1" spans="2:15" ht="18" thickBot="1"/>
    <row r="2" spans="2:15" ht="26.4" thickBot="1">
      <c r="B2" s="302" t="s">
        <v>87</v>
      </c>
      <c r="C2" s="303"/>
      <c r="D2" s="298" t="s">
        <v>126</v>
      </c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9"/>
    </row>
    <row r="3" spans="2:15" ht="18" thickTop="1">
      <c r="B3" s="295"/>
      <c r="C3" s="296"/>
      <c r="D3" s="121" t="s">
        <v>0</v>
      </c>
      <c r="E3" s="121" t="s">
        <v>1</v>
      </c>
      <c r="F3" s="121" t="s">
        <v>2</v>
      </c>
      <c r="G3" s="121" t="s">
        <v>3</v>
      </c>
      <c r="H3" s="121" t="s">
        <v>8</v>
      </c>
      <c r="I3" s="121" t="s">
        <v>9</v>
      </c>
      <c r="J3" s="121" t="s">
        <v>10</v>
      </c>
      <c r="K3" s="121" t="s">
        <v>11</v>
      </c>
      <c r="L3" s="121" t="s">
        <v>12</v>
      </c>
      <c r="M3" s="121" t="s">
        <v>13</v>
      </c>
      <c r="N3" s="122" t="s">
        <v>45</v>
      </c>
      <c r="O3" s="123" t="s">
        <v>46</v>
      </c>
    </row>
    <row r="4" spans="2:15" ht="18" thickBot="1">
      <c r="B4" s="300" t="s">
        <v>47</v>
      </c>
      <c r="C4" s="301"/>
      <c r="D4" s="73">
        <f>파라미터!C8+10*LN(파라미터!C12)</f>
        <v>10126.115377536384</v>
      </c>
      <c r="E4" s="73">
        <f>파라미터!D8+10*LN(파라미터!D12)</f>
        <v>10124.292161968444</v>
      </c>
      <c r="F4" s="73">
        <f>파라미터!E8+10*LN(파라미터!E12)</f>
        <v>5123.458345879053</v>
      </c>
      <c r="G4" s="73">
        <f>파라미터!F8+10*LN(파라미터!F12)</f>
        <v>4124.2921619684439</v>
      </c>
      <c r="H4" s="73">
        <f>파라미터!G8+10*LN(파라미터!G12)</f>
        <v>13108.197782844103</v>
      </c>
      <c r="I4" s="73">
        <f>파라미터!H8+10*LN(파라미터!H12)</f>
        <v>11110.020998412043</v>
      </c>
      <c r="J4" s="73">
        <f>파라미터!I8+10*LN(파라미터!I12)</f>
        <v>11612.89781913656</v>
      </c>
      <c r="K4" s="73">
        <f>파라미터!J8+10*LN(파라미터!J12)</f>
        <v>8808.1977828441031</v>
      </c>
      <c r="L4" s="73">
        <f>파라미터!K8+10*LN(파라미터!K12)</f>
        <v>9404.3411580359825</v>
      </c>
      <c r="M4" s="73">
        <f>파라미터!L8+10*LN(파라미터!L12)</f>
        <v>10115.966347330961</v>
      </c>
      <c r="N4" s="73">
        <f>파라미터!M8+10*LN(파라미터!M12)</f>
        <v>9116.082356447745</v>
      </c>
      <c r="O4" s="207">
        <f>파라미터!N8+10*LN(파라미터!N12)</f>
        <v>9212.6446410567169</v>
      </c>
    </row>
    <row r="5" spans="2:15" ht="26.4" thickBot="1">
      <c r="B5" s="293" t="s">
        <v>86</v>
      </c>
      <c r="C5" s="294"/>
      <c r="D5" s="297" t="s">
        <v>54</v>
      </c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9"/>
    </row>
    <row r="6" spans="2:15" ht="18" thickTop="1">
      <c r="B6" s="295"/>
      <c r="C6" s="296"/>
      <c r="D6" s="121" t="s">
        <v>0</v>
      </c>
      <c r="E6" s="121" t="s">
        <v>1</v>
      </c>
      <c r="F6" s="121" t="s">
        <v>2</v>
      </c>
      <c r="G6" s="121" t="s">
        <v>3</v>
      </c>
      <c r="H6" s="121" t="s">
        <v>8</v>
      </c>
      <c r="I6" s="121" t="s">
        <v>9</v>
      </c>
      <c r="J6" s="121" t="s">
        <v>10</v>
      </c>
      <c r="K6" s="121" t="s">
        <v>11</v>
      </c>
      <c r="L6" s="121" t="s">
        <v>12</v>
      </c>
      <c r="M6" s="121" t="s">
        <v>13</v>
      </c>
      <c r="N6" s="122" t="s">
        <v>45</v>
      </c>
      <c r="O6" s="123" t="s">
        <v>46</v>
      </c>
    </row>
    <row r="7" spans="2:15" ht="18" thickBot="1">
      <c r="B7" s="300" t="s">
        <v>55</v>
      </c>
      <c r="C7" s="301"/>
      <c r="D7" s="74">
        <v>1</v>
      </c>
      <c r="E7" s="69">
        <v>1</v>
      </c>
      <c r="F7" s="69">
        <v>1</v>
      </c>
      <c r="G7" s="69">
        <v>1</v>
      </c>
      <c r="H7" s="69">
        <v>1</v>
      </c>
      <c r="I7" s="69">
        <v>1</v>
      </c>
      <c r="J7" s="69">
        <v>1</v>
      </c>
      <c r="K7" s="69">
        <v>1</v>
      </c>
      <c r="L7" s="69">
        <v>1</v>
      </c>
      <c r="M7" s="69">
        <v>1</v>
      </c>
      <c r="N7" s="69">
        <v>1</v>
      </c>
      <c r="O7" s="70">
        <v>1</v>
      </c>
    </row>
    <row r="8" spans="2:15" ht="26.4" thickBot="1">
      <c r="B8" s="293" t="s">
        <v>85</v>
      </c>
      <c r="C8" s="304"/>
      <c r="D8" s="297" t="s">
        <v>53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9"/>
    </row>
    <row r="9" spans="2:15" ht="18" thickTop="1">
      <c r="B9" s="305"/>
      <c r="C9" s="306"/>
      <c r="D9" s="121" t="s">
        <v>0</v>
      </c>
      <c r="E9" s="121" t="s">
        <v>1</v>
      </c>
      <c r="F9" s="121" t="s">
        <v>2</v>
      </c>
      <c r="G9" s="121" t="s">
        <v>3</v>
      </c>
      <c r="H9" s="121" t="s">
        <v>8</v>
      </c>
      <c r="I9" s="121" t="s">
        <v>9</v>
      </c>
      <c r="J9" s="121" t="s">
        <v>10</v>
      </c>
      <c r="K9" s="121" t="s">
        <v>11</v>
      </c>
      <c r="L9" s="121" t="s">
        <v>12</v>
      </c>
      <c r="M9" s="121" t="s">
        <v>13</v>
      </c>
      <c r="N9" s="122" t="s">
        <v>45</v>
      </c>
      <c r="O9" s="123" t="s">
        <v>46</v>
      </c>
    </row>
    <row r="10" spans="2:15" ht="18" thickBot="1">
      <c r="B10" s="300" t="s">
        <v>56</v>
      </c>
      <c r="C10" s="301"/>
      <c r="D10" s="75">
        <f>D4*D7*0.03</f>
        <v>303.78346132609153</v>
      </c>
      <c r="E10" s="71">
        <f t="shared" ref="E10:O10" si="0">E4*E7*0.03</f>
        <v>303.72876485905329</v>
      </c>
      <c r="F10" s="71">
        <f t="shared" si="0"/>
        <v>153.70375037637157</v>
      </c>
      <c r="G10" s="71">
        <f t="shared" si="0"/>
        <v>123.72876485905331</v>
      </c>
      <c r="H10" s="71">
        <f t="shared" si="0"/>
        <v>393.24593348532306</v>
      </c>
      <c r="I10" s="71">
        <f t="shared" si="0"/>
        <v>333.30062995236125</v>
      </c>
      <c r="J10" s="71">
        <f t="shared" si="0"/>
        <v>348.38693457409681</v>
      </c>
      <c r="K10" s="71">
        <f t="shared" si="0"/>
        <v>264.24593348532306</v>
      </c>
      <c r="L10" s="71">
        <f t="shared" si="0"/>
        <v>282.13023474107945</v>
      </c>
      <c r="M10" s="71">
        <f t="shared" si="0"/>
        <v>303.47899041992883</v>
      </c>
      <c r="N10" s="71">
        <f t="shared" si="0"/>
        <v>273.48247069343233</v>
      </c>
      <c r="O10" s="72">
        <f t="shared" si="0"/>
        <v>276.37933923170152</v>
      </c>
    </row>
    <row r="11" spans="2:15" ht="26.4" thickBot="1">
      <c r="B11" s="293" t="s">
        <v>84</v>
      </c>
      <c r="C11" s="304"/>
      <c r="D11" s="297" t="s">
        <v>124</v>
      </c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9"/>
    </row>
    <row r="12" spans="2:15" ht="18" thickTop="1">
      <c r="B12" s="305"/>
      <c r="C12" s="306"/>
      <c r="D12" s="121" t="s">
        <v>0</v>
      </c>
      <c r="E12" s="121" t="s">
        <v>1</v>
      </c>
      <c r="F12" s="121" t="s">
        <v>2</v>
      </c>
      <c r="G12" s="121" t="s">
        <v>3</v>
      </c>
      <c r="H12" s="121" t="s">
        <v>8</v>
      </c>
      <c r="I12" s="121" t="s">
        <v>9</v>
      </c>
      <c r="J12" s="121" t="s">
        <v>10</v>
      </c>
      <c r="K12" s="121" t="s">
        <v>11</v>
      </c>
      <c r="L12" s="121" t="s">
        <v>12</v>
      </c>
      <c r="M12" s="121" t="s">
        <v>13</v>
      </c>
      <c r="N12" s="122" t="s">
        <v>45</v>
      </c>
      <c r="O12" s="123" t="s">
        <v>46</v>
      </c>
    </row>
    <row r="13" spans="2:15" ht="18" thickBot="1">
      <c r="B13" s="307" t="s">
        <v>56</v>
      </c>
      <c r="C13" s="308"/>
      <c r="D13" s="76">
        <f>INT(D4+D10+파라미터!$Q$20*파라미터!$Q$21*수리!$D$16*0.1)</f>
        <v>11080</v>
      </c>
      <c r="E13" s="76">
        <f>INT(E4+E10+파라미터!$Q$20*파라미터!$Q$21*수리!$D$16*0.1)</f>
        <v>11078</v>
      </c>
      <c r="F13" s="76">
        <f>INT(F4+F10+파라미터!$Q$20*파라미터!$Q$21*수리!$D$16*0.1)</f>
        <v>5928</v>
      </c>
      <c r="G13" s="76">
        <f>INT(G4+G10+파라미터!$Q$20*파라미터!$Q$21*수리!$D$16*0.1)</f>
        <v>4898</v>
      </c>
      <c r="H13" s="76">
        <f>INT(H4+H10+파라미터!$Q$20*파라미터!$Q$21*수리!$D$16*0.1)</f>
        <v>14152</v>
      </c>
      <c r="I13" s="76">
        <f>INT(I4+I10+파라미터!$Q$20*파라미터!$Q$21*수리!$D$16*0.1)</f>
        <v>12094</v>
      </c>
      <c r="J13" s="76">
        <f>INT(J4+J10+파라미터!$Q$20*파라미터!$Q$21*수리!$D$16*0.1)</f>
        <v>12612</v>
      </c>
      <c r="K13" s="76">
        <f>INT(K4+K10+파라미터!$Q$20*파라미터!$Q$21*수리!$D$16*0.1)</f>
        <v>9723</v>
      </c>
      <c r="L13" s="76">
        <f>INT(L4+L10+파라미터!$Q$20*파라미터!$Q$21*수리!$D$16*0.1)</f>
        <v>10337</v>
      </c>
      <c r="M13" s="76">
        <f>INT(M4+M10+파라미터!$Q$20*파라미터!$Q$21*수리!$D$16*0.1)</f>
        <v>11070</v>
      </c>
      <c r="N13" s="76">
        <f>INT(N4+N10)</f>
        <v>9389</v>
      </c>
      <c r="O13" s="79">
        <f>INT(O4+O10)</f>
        <v>9489</v>
      </c>
    </row>
    <row r="16" spans="2:15">
      <c r="E16" s="25"/>
    </row>
  </sheetData>
  <mergeCells count="12">
    <mergeCell ref="B11:C12"/>
    <mergeCell ref="D11:O11"/>
    <mergeCell ref="B13:C13"/>
    <mergeCell ref="B8:C9"/>
    <mergeCell ref="D8:O8"/>
    <mergeCell ref="B5:C6"/>
    <mergeCell ref="D5:O5"/>
    <mergeCell ref="B10:C10"/>
    <mergeCell ref="B2:C3"/>
    <mergeCell ref="D2:O2"/>
    <mergeCell ref="B4:C4"/>
    <mergeCell ref="B7:C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0748-3EC5-4BA6-B371-46DFDA4C984F}">
  <sheetPr codeName="Sheet4"/>
  <dimension ref="B1:O40"/>
  <sheetViews>
    <sheetView zoomScale="115" zoomScaleNormal="115" workbookViewId="0">
      <selection activeCell="O37" sqref="O37"/>
    </sheetView>
  </sheetViews>
  <sheetFormatPr defaultColWidth="9" defaultRowHeight="17.399999999999999"/>
  <cols>
    <col min="1" max="1" width="3.8984375" style="21" customWidth="1"/>
    <col min="2" max="3" width="9" style="21"/>
    <col min="4" max="4" width="12" style="21" bestFit="1" customWidth="1"/>
    <col min="5" max="7" width="11.19921875" style="21" bestFit="1" customWidth="1"/>
    <col min="8" max="8" width="10" style="21" customWidth="1"/>
    <col min="9" max="9" width="11.19921875" style="21" bestFit="1" customWidth="1"/>
    <col min="10" max="10" width="12.09765625" style="21" bestFit="1" customWidth="1"/>
    <col min="11" max="15" width="11.19921875" style="21" bestFit="1" customWidth="1"/>
    <col min="16" max="16384" width="9" style="21"/>
  </cols>
  <sheetData>
    <row r="1" spans="2:15" ht="18" thickBot="1"/>
    <row r="2" spans="2:15" ht="26.4" thickBot="1">
      <c r="B2" s="311" t="s">
        <v>118</v>
      </c>
      <c r="C2" s="312"/>
      <c r="D2" s="298" t="s">
        <v>127</v>
      </c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9"/>
    </row>
    <row r="3" spans="2:15" ht="18" customHeight="1" thickTop="1">
      <c r="B3" s="313"/>
      <c r="C3" s="314"/>
      <c r="D3" s="112" t="s">
        <v>0</v>
      </c>
      <c r="E3" s="113" t="s">
        <v>1</v>
      </c>
      <c r="F3" s="113" t="s">
        <v>2</v>
      </c>
      <c r="G3" s="113" t="s">
        <v>3</v>
      </c>
      <c r="H3" s="113" t="s">
        <v>8</v>
      </c>
      <c r="I3" s="113" t="s">
        <v>9</v>
      </c>
      <c r="J3" s="113" t="s">
        <v>10</v>
      </c>
      <c r="K3" s="113" t="s">
        <v>11</v>
      </c>
      <c r="L3" s="113" t="s">
        <v>12</v>
      </c>
      <c r="M3" s="113" t="s">
        <v>13</v>
      </c>
      <c r="N3" s="114" t="s">
        <v>45</v>
      </c>
      <c r="O3" s="115" t="s">
        <v>46</v>
      </c>
    </row>
    <row r="4" spans="2:15">
      <c r="B4" s="309" t="s">
        <v>4</v>
      </c>
      <c r="C4" s="310"/>
      <c r="D4" s="80">
        <f>(파라미터!$C$8-10*LN(파라미터!$C$12))*0.7</f>
        <v>6911.7192357245312</v>
      </c>
      <c r="E4" s="35">
        <f>(파라미터!$D$8-10*LN(파라미터!$D$12))*0.1</f>
        <v>987.57078380315568</v>
      </c>
      <c r="F4" s="35">
        <f>(파라미터!$E$8-10*LN(파라미터!$E$12))*0.1</f>
        <v>487.6541654120947</v>
      </c>
      <c r="G4" s="35">
        <f>(파라미터!$F$8-10*LN(파라미터!$F$12))*0.1</f>
        <v>387.57078380315562</v>
      </c>
      <c r="H4" s="35">
        <f>(파라미터!$G$8-10*LN(파라미터!$G$12))*파라미터!Q10</f>
        <v>5156.7208868623593</v>
      </c>
      <c r="I4" s="35">
        <f>(파라미터!$H$8-10*LN(파라미터!$H$12))*파라미터!Q10</f>
        <v>4355.9916006351832</v>
      </c>
      <c r="J4" s="35">
        <f>(파라미터!$I$8-10*LN(파라미터!$I$12))*파라미터!Q10</f>
        <v>4554.8408723453758</v>
      </c>
      <c r="K4" s="35">
        <f>(파라미터!$J$8-10*LN(파라미터!$J$12))*파라미터!Q10</f>
        <v>3436.7208868623588</v>
      </c>
      <c r="L4" s="35">
        <f>(파라미터!$K$8-10*LN(파라미터!$K$12))*파라미터!Q10</f>
        <v>3678.2635367856074</v>
      </c>
      <c r="M4" s="35">
        <f>(파라미터!$L$8-10*LN(파라미터!$L$12))*파라미터!Q10</f>
        <v>3961.6134610676158</v>
      </c>
      <c r="N4" s="35">
        <f>(파라미터!$M$8-10*LN(파라미터!$M$12))*파라미터!Q10</f>
        <v>3553.5670574209021</v>
      </c>
      <c r="O4" s="36">
        <f>(파라미터!$N$8-10*LN(파라미터!$N$12))*파라미터!Q10</f>
        <v>3594.9421435773133</v>
      </c>
    </row>
    <row r="5" spans="2:15">
      <c r="B5" s="309" t="s">
        <v>5</v>
      </c>
      <c r="C5" s="310"/>
      <c r="D5" s="80">
        <f>(파라미터!$C$8-10*LN(파라미터!$C$12))*0.1</f>
        <v>987.38846224636166</v>
      </c>
      <c r="E5" s="35">
        <f>(파라미터!$D$8-10*LN(파라미터!$D$12))*0.7</f>
        <v>6912.9954866220887</v>
      </c>
      <c r="F5" s="35">
        <f>(파라미터!$E$8-10*LN(파라미터!$E$12))*0.1</f>
        <v>487.6541654120947</v>
      </c>
      <c r="G5" s="35">
        <f>(파라미터!$F$8-10*LN(파라미터!$F$12))*0.1</f>
        <v>387.57078380315562</v>
      </c>
      <c r="H5" s="35">
        <f>(파라미터!$G$8-10*LN(파라미터!$G$12))*파라미터!Q11</f>
        <v>4512.1307760045638</v>
      </c>
      <c r="I5" s="35">
        <f>(파라미터!$H$8-10*LN(파라미터!$H$12))*파라미터!Q11</f>
        <v>3811.4926505557846</v>
      </c>
      <c r="J5" s="35">
        <f>(파라미터!$I$8-10*LN(파라미터!$I$12))*파라미터!Q11</f>
        <v>3985.4857633022034</v>
      </c>
      <c r="K5" s="35">
        <f>(파라미터!$J$8-10*LN(파라미터!$J$12))*파라미터!Q11</f>
        <v>3007.1307760045638</v>
      </c>
      <c r="L5" s="35">
        <f>(파라미터!$K$8-10*LN(파라미터!$K$12))*파라미터!Q11</f>
        <v>3218.4805946874058</v>
      </c>
      <c r="M5" s="35">
        <f>(파라미터!$L$8-10*LN(파라미터!$L$12))*파라미터!Q11</f>
        <v>3466.4117784341634</v>
      </c>
      <c r="N5" s="35">
        <f>(파라미터!$M$8-10*LN(파라미터!$M$12))*파라미터!Q11</f>
        <v>3109.3711752432891</v>
      </c>
      <c r="O5" s="36">
        <f>(파라미터!$N$8-10*LN(파라미터!$N$12))*파라미터!Q11</f>
        <v>3145.574375630149</v>
      </c>
    </row>
    <row r="6" spans="2:15">
      <c r="B6" s="309" t="s">
        <v>6</v>
      </c>
      <c r="C6" s="310"/>
      <c r="D6" s="80">
        <f>(파라미터!$C$8-10*LN(파라미터!$C$12))*0.1</f>
        <v>987.38846224636166</v>
      </c>
      <c r="E6" s="35">
        <f>(파라미터!$D$8-10*LN(파라미터!$D$12))*0.1</f>
        <v>987.57078380315568</v>
      </c>
      <c r="F6" s="35">
        <f>(파라미터!$E$8-10*LN(파라미터!$E$12))*0.7</f>
        <v>3413.5791578846629</v>
      </c>
      <c r="G6" s="35">
        <f>(파라미터!$F$8-10*LN(파라미터!$F$12))*0.1</f>
        <v>387.57078380315562</v>
      </c>
      <c r="H6" s="35">
        <f>(파라미터!$G$8-10*LN(파라미터!$G$12))*파라미터!Q12</f>
        <v>1933.7703325733844</v>
      </c>
      <c r="I6" s="35">
        <f>(파라미터!$H$8-10*LN(파라미터!$H$12))*파라미터!Q12</f>
        <v>1633.4968502381935</v>
      </c>
      <c r="J6" s="35">
        <f>(파라미터!$I$8-10*LN(파라미터!$I$12))*파라미터!Q12</f>
        <v>1708.0653271295159</v>
      </c>
      <c r="K6" s="35">
        <f>(파라미터!$J$8-10*LN(파라미터!$J$12))*파라미터!Q12</f>
        <v>1288.7703325733844</v>
      </c>
      <c r="L6" s="35">
        <f>(파라미터!$K$8-10*LN(파라미터!$K$12))*파라미터!Q12</f>
        <v>1379.3488262946025</v>
      </c>
      <c r="M6" s="35">
        <f>(파라미터!$L$8-10*LN(파라미터!$L$12))*파라미터!Q12</f>
        <v>1485.6050479003559</v>
      </c>
      <c r="N6" s="35">
        <f>(파라미터!$M$8-10*LN(파라미터!$M$12))*파라미터!Q12</f>
        <v>1332.5876465328381</v>
      </c>
      <c r="O6" s="36">
        <f>(파라미터!$N$8-10*LN(파라미터!$N$12))*파라미터!Q12</f>
        <v>1348.1033038414923</v>
      </c>
    </row>
    <row r="7" spans="2:15">
      <c r="B7" s="309" t="s">
        <v>7</v>
      </c>
      <c r="C7" s="310"/>
      <c r="D7" s="80">
        <f>(파라미터!$C$8-10*LN(파라미터!$C$12))*0.1</f>
        <v>987.38846224636166</v>
      </c>
      <c r="E7" s="35">
        <f>(파라미터!$D$8-10*LN(파라미터!$D$12))*0.1</f>
        <v>987.57078380315568</v>
      </c>
      <c r="F7" s="35">
        <f>(파라미터!$E$8-10*LN(파라미터!$E$12))*0.1</f>
        <v>487.6541654120947</v>
      </c>
      <c r="G7" s="35">
        <f>(파라미터!$F$8-10*LN(파라미터!$F$12))*0.7</f>
        <v>2712.9954866220892</v>
      </c>
      <c r="H7" s="35">
        <f>(파라미터!$G$8-10*LN(파라미터!$G$12))*파라미터!Q13</f>
        <v>1289.1802217155898</v>
      </c>
      <c r="I7" s="35">
        <f>(파라미터!$H$8-10*LN(파라미터!$H$12))*파라미터!Q13</f>
        <v>1088.9979001587958</v>
      </c>
      <c r="J7" s="35">
        <f>(파라미터!$I$8-10*LN(파라미터!$I$12))*파라미터!Q13</f>
        <v>1138.710218086344</v>
      </c>
      <c r="K7" s="35">
        <f>(파라미터!$J$8-10*LN(파라미터!$J$12))*파라미터!Q13</f>
        <v>859.18022171558971</v>
      </c>
      <c r="L7" s="35">
        <f>(파라미터!$K$8-10*LN(파라미터!$K$12))*파라미터!Q13</f>
        <v>919.56588419640184</v>
      </c>
      <c r="M7" s="35">
        <f>(파라미터!$L$8-10*LN(파라미터!$L$12))*파라미터!Q13</f>
        <v>990.40336526690396</v>
      </c>
      <c r="N7" s="35">
        <f>(파라미터!$M$8-10*LN(파라미터!$M$12))*파라미터!Q13</f>
        <v>888.39176435522552</v>
      </c>
      <c r="O7" s="36">
        <f>(파라미터!$N$8-10*LN(파라미터!$N$12))*파라미터!Q13</f>
        <v>898.73553589432834</v>
      </c>
    </row>
    <row r="8" spans="2:15" ht="18" thickBot="1">
      <c r="B8" s="315" t="s">
        <v>21</v>
      </c>
      <c r="C8" s="316"/>
      <c r="D8" s="81">
        <f>SUM(D4:D7)</f>
        <v>9873.8846224636163</v>
      </c>
      <c r="E8" s="82">
        <f>SUM(E4:E7)</f>
        <v>9875.7078380315561</v>
      </c>
      <c r="F8" s="82">
        <f t="shared" ref="F8" si="0">SUM(F4:F7)</f>
        <v>4876.541654120947</v>
      </c>
      <c r="G8" s="82">
        <f>SUM(G4:G7)</f>
        <v>3875.7078380315561</v>
      </c>
      <c r="H8" s="82">
        <f>SUM(H4:H7)</f>
        <v>12891.802217155897</v>
      </c>
      <c r="I8" s="82">
        <f>SUM(I4:I7)</f>
        <v>10889.979001587959</v>
      </c>
      <c r="J8" s="82">
        <f>SUM(J4:J7)</f>
        <v>11387.10218086344</v>
      </c>
      <c r="K8" s="82">
        <f t="shared" ref="K8:O8" si="1">SUM(K4:K7)</f>
        <v>8591.8022171558969</v>
      </c>
      <c r="L8" s="82">
        <f t="shared" si="1"/>
        <v>9195.6588419640175</v>
      </c>
      <c r="M8" s="82">
        <f t="shared" si="1"/>
        <v>9904.0336526690389</v>
      </c>
      <c r="N8" s="82">
        <f t="shared" si="1"/>
        <v>8883.917643552255</v>
      </c>
      <c r="O8" s="83">
        <f t="shared" si="1"/>
        <v>8987.3553589432831</v>
      </c>
    </row>
    <row r="9" spans="2:15" ht="26.4" thickBot="1">
      <c r="B9" s="318" t="s">
        <v>118</v>
      </c>
      <c r="C9" s="319"/>
      <c r="D9" s="298" t="s">
        <v>48</v>
      </c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9"/>
    </row>
    <row r="10" spans="2:15" ht="18" thickTop="1">
      <c r="B10" s="320"/>
      <c r="C10" s="321"/>
      <c r="D10" s="112" t="s">
        <v>0</v>
      </c>
      <c r="E10" s="113" t="s">
        <v>1</v>
      </c>
      <c r="F10" s="113" t="s">
        <v>2</v>
      </c>
      <c r="G10" s="113" t="s">
        <v>3</v>
      </c>
      <c r="H10" s="113" t="s">
        <v>8</v>
      </c>
      <c r="I10" s="113" t="s">
        <v>9</v>
      </c>
      <c r="J10" s="113" t="s">
        <v>10</v>
      </c>
      <c r="K10" s="113" t="s">
        <v>11</v>
      </c>
      <c r="L10" s="113" t="s">
        <v>12</v>
      </c>
      <c r="M10" s="113" t="s">
        <v>13</v>
      </c>
      <c r="N10" s="114" t="s">
        <v>45</v>
      </c>
      <c r="O10" s="115" t="s">
        <v>46</v>
      </c>
    </row>
    <row r="11" spans="2:15">
      <c r="B11" s="309" t="s">
        <v>4</v>
      </c>
      <c r="C11" s="310"/>
      <c r="D11" s="84">
        <f>1</f>
        <v>1</v>
      </c>
      <c r="E11" s="29">
        <v>0</v>
      </c>
      <c r="F11" s="29">
        <v>0</v>
      </c>
      <c r="G11" s="29">
        <v>0</v>
      </c>
      <c r="H11" s="29">
        <f>1</f>
        <v>1</v>
      </c>
      <c r="I11" s="29">
        <f>1</f>
        <v>1</v>
      </c>
      <c r="J11" s="29">
        <f>1</f>
        <v>1</v>
      </c>
      <c r="K11" s="29">
        <f>1</f>
        <v>1</v>
      </c>
      <c r="L11" s="29">
        <f>1</f>
        <v>1</v>
      </c>
      <c r="M11" s="29">
        <f>1</f>
        <v>1</v>
      </c>
      <c r="N11" s="29">
        <f>1</f>
        <v>1</v>
      </c>
      <c r="O11" s="5">
        <f>1</f>
        <v>1</v>
      </c>
    </row>
    <row r="12" spans="2:15">
      <c r="B12" s="309" t="s">
        <v>5</v>
      </c>
      <c r="C12" s="310"/>
      <c r="D12" s="84">
        <v>0</v>
      </c>
      <c r="E12" s="29">
        <f>1</f>
        <v>1</v>
      </c>
      <c r="F12" s="29">
        <v>0</v>
      </c>
      <c r="G12" s="29">
        <v>0</v>
      </c>
      <c r="H12" s="29">
        <f>1</f>
        <v>1</v>
      </c>
      <c r="I12" s="29">
        <f>1</f>
        <v>1</v>
      </c>
      <c r="J12" s="29">
        <f>1</f>
        <v>1</v>
      </c>
      <c r="K12" s="29">
        <f>1</f>
        <v>1</v>
      </c>
      <c r="L12" s="29">
        <f>1</f>
        <v>1</v>
      </c>
      <c r="M12" s="29">
        <f>1</f>
        <v>1</v>
      </c>
      <c r="N12" s="29">
        <f>1</f>
        <v>1</v>
      </c>
      <c r="O12" s="5">
        <f>1</f>
        <v>1</v>
      </c>
    </row>
    <row r="13" spans="2:15">
      <c r="B13" s="309" t="s">
        <v>6</v>
      </c>
      <c r="C13" s="310"/>
      <c r="D13" s="84">
        <v>0</v>
      </c>
      <c r="E13" s="29">
        <v>0</v>
      </c>
      <c r="F13" s="29">
        <f>1</f>
        <v>1</v>
      </c>
      <c r="G13" s="29">
        <v>0</v>
      </c>
      <c r="H13" s="29">
        <f>1</f>
        <v>1</v>
      </c>
      <c r="I13" s="29">
        <f>1</f>
        <v>1</v>
      </c>
      <c r="J13" s="29">
        <f>1</f>
        <v>1</v>
      </c>
      <c r="K13" s="29">
        <f>1</f>
        <v>1</v>
      </c>
      <c r="L13" s="29">
        <f>1</f>
        <v>1</v>
      </c>
      <c r="M13" s="29">
        <f>1</f>
        <v>1</v>
      </c>
      <c r="N13" s="29">
        <f>1</f>
        <v>1</v>
      </c>
      <c r="O13" s="5">
        <f>1</f>
        <v>1</v>
      </c>
    </row>
    <row r="14" spans="2:15" ht="18" thickBot="1">
      <c r="B14" s="315" t="s">
        <v>7</v>
      </c>
      <c r="C14" s="316"/>
      <c r="D14" s="85">
        <v>0</v>
      </c>
      <c r="E14" s="44">
        <v>0</v>
      </c>
      <c r="F14" s="44">
        <v>0</v>
      </c>
      <c r="G14" s="44">
        <f>1</f>
        <v>1</v>
      </c>
      <c r="H14" s="44">
        <f>1</f>
        <v>1</v>
      </c>
      <c r="I14" s="44">
        <f>1</f>
        <v>1</v>
      </c>
      <c r="J14" s="44">
        <f>1</f>
        <v>1</v>
      </c>
      <c r="K14" s="44">
        <f>1</f>
        <v>1</v>
      </c>
      <c r="L14" s="44">
        <f>1</f>
        <v>1</v>
      </c>
      <c r="M14" s="44">
        <f>1</f>
        <v>1</v>
      </c>
      <c r="N14" s="44">
        <f>1</f>
        <v>1</v>
      </c>
      <c r="O14" s="45">
        <f>1</f>
        <v>1</v>
      </c>
    </row>
    <row r="15" spans="2:15" ht="26.4" thickBot="1">
      <c r="B15" s="318" t="s">
        <v>118</v>
      </c>
      <c r="C15" s="319"/>
      <c r="D15" s="298" t="s">
        <v>49</v>
      </c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9"/>
    </row>
    <row r="16" spans="2:15" ht="18" thickTop="1">
      <c r="B16" s="320"/>
      <c r="C16" s="321"/>
      <c r="D16" s="116" t="s">
        <v>0</v>
      </c>
      <c r="E16" s="117" t="s">
        <v>1</v>
      </c>
      <c r="F16" s="117" t="s">
        <v>2</v>
      </c>
      <c r="G16" s="117" t="s">
        <v>3</v>
      </c>
      <c r="H16" s="117" t="s">
        <v>8</v>
      </c>
      <c r="I16" s="117" t="s">
        <v>9</v>
      </c>
      <c r="J16" s="117" t="s">
        <v>10</v>
      </c>
      <c r="K16" s="117" t="s">
        <v>11</v>
      </c>
      <c r="L16" s="117" t="s">
        <v>12</v>
      </c>
      <c r="M16" s="117" t="s">
        <v>13</v>
      </c>
      <c r="N16" s="118" t="s">
        <v>45</v>
      </c>
      <c r="O16" s="119" t="s">
        <v>46</v>
      </c>
    </row>
    <row r="17" spans="2:15">
      <c r="B17" s="309" t="s">
        <v>4</v>
      </c>
      <c r="C17" s="310"/>
      <c r="D17" s="86">
        <f t="shared" ref="D17:O17" si="2">D11*D4*0.02</f>
        <v>138.23438471449063</v>
      </c>
      <c r="E17" s="87">
        <f t="shared" si="2"/>
        <v>0</v>
      </c>
      <c r="F17" s="87">
        <f t="shared" si="2"/>
        <v>0</v>
      </c>
      <c r="G17" s="87">
        <f t="shared" si="2"/>
        <v>0</v>
      </c>
      <c r="H17" s="87">
        <f t="shared" si="2"/>
        <v>103.13441773724719</v>
      </c>
      <c r="I17" s="87">
        <f t="shared" si="2"/>
        <v>87.119832012703668</v>
      </c>
      <c r="J17" s="87">
        <f t="shared" si="2"/>
        <v>91.096817446907522</v>
      </c>
      <c r="K17" s="87">
        <f t="shared" si="2"/>
        <v>68.734417737247185</v>
      </c>
      <c r="L17" s="87">
        <f t="shared" si="2"/>
        <v>73.565270735712147</v>
      </c>
      <c r="M17" s="87">
        <f t="shared" si="2"/>
        <v>79.232269221352325</v>
      </c>
      <c r="N17" s="87">
        <f t="shared" si="2"/>
        <v>71.071341148418043</v>
      </c>
      <c r="O17" s="88">
        <f t="shared" si="2"/>
        <v>71.898842871546265</v>
      </c>
    </row>
    <row r="18" spans="2:15">
      <c r="B18" s="309" t="s">
        <v>5</v>
      </c>
      <c r="C18" s="310"/>
      <c r="D18" s="80">
        <f t="shared" ref="D18:O18" si="3">D12*D5*0.01</f>
        <v>0</v>
      </c>
      <c r="E18" s="35">
        <f t="shared" si="3"/>
        <v>69.129954866220885</v>
      </c>
      <c r="F18" s="35">
        <f t="shared" si="3"/>
        <v>0</v>
      </c>
      <c r="G18" s="35">
        <f t="shared" si="3"/>
        <v>0</v>
      </c>
      <c r="H18" s="35">
        <f t="shared" si="3"/>
        <v>45.121307760045639</v>
      </c>
      <c r="I18" s="35">
        <f t="shared" si="3"/>
        <v>38.114926505557847</v>
      </c>
      <c r="J18" s="35">
        <f t="shared" si="3"/>
        <v>39.854857633022036</v>
      </c>
      <c r="K18" s="35">
        <f t="shared" si="3"/>
        <v>30.071307760045638</v>
      </c>
      <c r="L18" s="35">
        <f t="shared" si="3"/>
        <v>32.184805946874057</v>
      </c>
      <c r="M18" s="35">
        <f t="shared" si="3"/>
        <v>34.664117784341634</v>
      </c>
      <c r="N18" s="35">
        <f t="shared" si="3"/>
        <v>31.093711752432892</v>
      </c>
      <c r="O18" s="36">
        <f t="shared" si="3"/>
        <v>31.455743756301491</v>
      </c>
    </row>
    <row r="19" spans="2:15">
      <c r="B19" s="309" t="s">
        <v>6</v>
      </c>
      <c r="C19" s="310"/>
      <c r="D19" s="80">
        <f t="shared" ref="D19:O19" si="4">D13*D6*0.01</f>
        <v>0</v>
      </c>
      <c r="E19" s="35">
        <f t="shared" si="4"/>
        <v>0</v>
      </c>
      <c r="F19" s="35">
        <f t="shared" si="4"/>
        <v>34.135791578846629</v>
      </c>
      <c r="G19" s="35">
        <f t="shared" si="4"/>
        <v>0</v>
      </c>
      <c r="H19" s="35">
        <f t="shared" si="4"/>
        <v>19.337703325733845</v>
      </c>
      <c r="I19" s="35">
        <f t="shared" si="4"/>
        <v>16.334968502381933</v>
      </c>
      <c r="J19" s="35">
        <f t="shared" si="4"/>
        <v>17.080653271295159</v>
      </c>
      <c r="K19" s="35">
        <f t="shared" si="4"/>
        <v>12.887703325733844</v>
      </c>
      <c r="L19" s="35">
        <f t="shared" si="4"/>
        <v>13.793488262946026</v>
      </c>
      <c r="M19" s="35">
        <f t="shared" si="4"/>
        <v>14.856050479003558</v>
      </c>
      <c r="N19" s="35">
        <f t="shared" si="4"/>
        <v>13.325876465328381</v>
      </c>
      <c r="O19" s="36">
        <f t="shared" si="4"/>
        <v>13.481033038414923</v>
      </c>
    </row>
    <row r="20" spans="2:15">
      <c r="B20" s="309" t="s">
        <v>7</v>
      </c>
      <c r="C20" s="310"/>
      <c r="D20" s="80">
        <f>D14*D7*0.05</f>
        <v>0</v>
      </c>
      <c r="E20" s="35">
        <f t="shared" ref="E20:O20" si="5">E14*E7*0.05</f>
        <v>0</v>
      </c>
      <c r="F20" s="35">
        <f t="shared" si="5"/>
        <v>0</v>
      </c>
      <c r="G20" s="35">
        <f t="shared" si="5"/>
        <v>135.64977433110445</v>
      </c>
      <c r="H20" s="35">
        <f t="shared" si="5"/>
        <v>64.459011085779494</v>
      </c>
      <c r="I20" s="35">
        <f t="shared" si="5"/>
        <v>54.449895007939794</v>
      </c>
      <c r="J20" s="35">
        <f t="shared" si="5"/>
        <v>56.935510904317198</v>
      </c>
      <c r="K20" s="35">
        <f t="shared" si="5"/>
        <v>42.959011085779487</v>
      </c>
      <c r="L20" s="35">
        <f t="shared" si="5"/>
        <v>45.978294209820092</v>
      </c>
      <c r="M20" s="35">
        <f t="shared" si="5"/>
        <v>49.520168263345198</v>
      </c>
      <c r="N20" s="35">
        <f t="shared" si="5"/>
        <v>44.41958821776128</v>
      </c>
      <c r="O20" s="36">
        <f t="shared" si="5"/>
        <v>44.936776794716423</v>
      </c>
    </row>
    <row r="21" spans="2:15" ht="18" thickBot="1">
      <c r="B21" s="315" t="s">
        <v>21</v>
      </c>
      <c r="C21" s="316"/>
      <c r="D21" s="81">
        <f>SUM(D17:D20)</f>
        <v>138.23438471449063</v>
      </c>
      <c r="E21" s="82">
        <f t="shared" ref="E21:O21" si="6">SUM(E17:E20)</f>
        <v>69.129954866220885</v>
      </c>
      <c r="F21" s="82">
        <f t="shared" si="6"/>
        <v>34.135791578846629</v>
      </c>
      <c r="G21" s="82">
        <f t="shared" si="6"/>
        <v>135.64977433110445</v>
      </c>
      <c r="H21" s="82">
        <f t="shared" si="6"/>
        <v>232.05243990880615</v>
      </c>
      <c r="I21" s="82">
        <f t="shared" si="6"/>
        <v>196.01962202858326</v>
      </c>
      <c r="J21" s="82">
        <f t="shared" si="6"/>
        <v>204.96783925554189</v>
      </c>
      <c r="K21" s="82">
        <f t="shared" si="6"/>
        <v>154.65243990880614</v>
      </c>
      <c r="L21" s="82">
        <f t="shared" si="6"/>
        <v>165.52185915535233</v>
      </c>
      <c r="M21" s="82">
        <f t="shared" si="6"/>
        <v>178.27260574804271</v>
      </c>
      <c r="N21" s="82">
        <f t="shared" si="6"/>
        <v>159.91051758394059</v>
      </c>
      <c r="O21" s="83">
        <f t="shared" si="6"/>
        <v>161.77239646097911</v>
      </c>
    </row>
    <row r="22" spans="2:15" ht="26.4" thickBot="1">
      <c r="B22" s="318" t="s">
        <v>118</v>
      </c>
      <c r="C22" s="319"/>
      <c r="D22" s="298" t="s">
        <v>50</v>
      </c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9"/>
    </row>
    <row r="23" spans="2:15" ht="18" thickTop="1">
      <c r="B23" s="320"/>
      <c r="C23" s="321"/>
      <c r="D23" s="112" t="s">
        <v>0</v>
      </c>
      <c r="E23" s="113" t="s">
        <v>1</v>
      </c>
      <c r="F23" s="113" t="s">
        <v>2</v>
      </c>
      <c r="G23" s="113" t="s">
        <v>3</v>
      </c>
      <c r="H23" s="113" t="s">
        <v>8</v>
      </c>
      <c r="I23" s="113" t="s">
        <v>9</v>
      </c>
      <c r="J23" s="113" t="s">
        <v>10</v>
      </c>
      <c r="K23" s="113" t="s">
        <v>11</v>
      </c>
      <c r="L23" s="113" t="s">
        <v>12</v>
      </c>
      <c r="M23" s="113" t="s">
        <v>13</v>
      </c>
      <c r="N23" s="114" t="s">
        <v>45</v>
      </c>
      <c r="O23" s="115" t="s">
        <v>46</v>
      </c>
    </row>
    <row r="24" spans="2:15">
      <c r="B24" s="309" t="s">
        <v>4</v>
      </c>
      <c r="C24" s="310"/>
      <c r="D24" s="84">
        <f>-1</f>
        <v>-1</v>
      </c>
      <c r="E24" s="29">
        <v>0</v>
      </c>
      <c r="F24" s="29">
        <v>0</v>
      </c>
      <c r="G24" s="29">
        <v>0</v>
      </c>
      <c r="H24" s="29">
        <f t="shared" ref="H24:O27" si="7">-1</f>
        <v>-1</v>
      </c>
      <c r="I24" s="29">
        <f t="shared" si="7"/>
        <v>-1</v>
      </c>
      <c r="J24" s="29">
        <f t="shared" si="7"/>
        <v>-1</v>
      </c>
      <c r="K24" s="29">
        <f t="shared" si="7"/>
        <v>-1</v>
      </c>
      <c r="L24" s="29">
        <f t="shared" si="7"/>
        <v>-1</v>
      </c>
      <c r="M24" s="29">
        <f t="shared" si="7"/>
        <v>-1</v>
      </c>
      <c r="N24" s="29">
        <f t="shared" si="7"/>
        <v>-1</v>
      </c>
      <c r="O24" s="5">
        <f t="shared" si="7"/>
        <v>-1</v>
      </c>
    </row>
    <row r="25" spans="2:15">
      <c r="B25" s="309" t="s">
        <v>5</v>
      </c>
      <c r="C25" s="310"/>
      <c r="D25" s="84">
        <v>0</v>
      </c>
      <c r="E25" s="29">
        <f>-1</f>
        <v>-1</v>
      </c>
      <c r="F25" s="29">
        <v>0</v>
      </c>
      <c r="G25" s="29">
        <v>0</v>
      </c>
      <c r="H25" s="29">
        <f t="shared" si="7"/>
        <v>-1</v>
      </c>
      <c r="I25" s="29">
        <f t="shared" si="7"/>
        <v>-1</v>
      </c>
      <c r="J25" s="29">
        <f t="shared" si="7"/>
        <v>-1</v>
      </c>
      <c r="K25" s="29">
        <f t="shared" si="7"/>
        <v>-1</v>
      </c>
      <c r="L25" s="29">
        <f t="shared" si="7"/>
        <v>-1</v>
      </c>
      <c r="M25" s="29">
        <f t="shared" si="7"/>
        <v>-1</v>
      </c>
      <c r="N25" s="29">
        <f t="shared" si="7"/>
        <v>-1</v>
      </c>
      <c r="O25" s="5">
        <f t="shared" si="7"/>
        <v>-1</v>
      </c>
    </row>
    <row r="26" spans="2:15">
      <c r="B26" s="309" t="s">
        <v>6</v>
      </c>
      <c r="C26" s="310"/>
      <c r="D26" s="84">
        <v>0</v>
      </c>
      <c r="E26" s="29">
        <v>0</v>
      </c>
      <c r="F26" s="29">
        <f>-1</f>
        <v>-1</v>
      </c>
      <c r="G26" s="29">
        <v>0</v>
      </c>
      <c r="H26" s="29">
        <f t="shared" si="7"/>
        <v>-1</v>
      </c>
      <c r="I26" s="29">
        <f t="shared" si="7"/>
        <v>-1</v>
      </c>
      <c r="J26" s="29">
        <f t="shared" si="7"/>
        <v>-1</v>
      </c>
      <c r="K26" s="29">
        <f t="shared" si="7"/>
        <v>-1</v>
      </c>
      <c r="L26" s="29">
        <f t="shared" si="7"/>
        <v>-1</v>
      </c>
      <c r="M26" s="29">
        <f t="shared" si="7"/>
        <v>-1</v>
      </c>
      <c r="N26" s="29">
        <f t="shared" si="7"/>
        <v>-1</v>
      </c>
      <c r="O26" s="5">
        <f t="shared" si="7"/>
        <v>-1</v>
      </c>
    </row>
    <row r="27" spans="2:15" ht="18" thickBot="1">
      <c r="B27" s="315" t="s">
        <v>7</v>
      </c>
      <c r="C27" s="316"/>
      <c r="D27" s="85">
        <v>0</v>
      </c>
      <c r="E27" s="44">
        <v>0</v>
      </c>
      <c r="F27" s="44">
        <v>0</v>
      </c>
      <c r="G27" s="44">
        <f>-1</f>
        <v>-1</v>
      </c>
      <c r="H27" s="44">
        <f t="shared" si="7"/>
        <v>-1</v>
      </c>
      <c r="I27" s="44">
        <f t="shared" si="7"/>
        <v>-1</v>
      </c>
      <c r="J27" s="44">
        <f t="shared" si="7"/>
        <v>-1</v>
      </c>
      <c r="K27" s="44">
        <f t="shared" si="7"/>
        <v>-1</v>
      </c>
      <c r="L27" s="44">
        <f t="shared" si="7"/>
        <v>-1</v>
      </c>
      <c r="M27" s="44">
        <f t="shared" si="7"/>
        <v>-1</v>
      </c>
      <c r="N27" s="44">
        <f t="shared" si="7"/>
        <v>-1</v>
      </c>
      <c r="O27" s="45">
        <f t="shared" si="7"/>
        <v>-1</v>
      </c>
    </row>
    <row r="28" spans="2:15" ht="26.4" thickBot="1">
      <c r="B28" s="318" t="s">
        <v>118</v>
      </c>
      <c r="C28" s="319"/>
      <c r="D28" s="298" t="s">
        <v>51</v>
      </c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299"/>
    </row>
    <row r="29" spans="2:15" ht="18" thickTop="1">
      <c r="B29" s="320"/>
      <c r="C29" s="321"/>
      <c r="D29" s="112" t="s">
        <v>0</v>
      </c>
      <c r="E29" s="113" t="s">
        <v>1</v>
      </c>
      <c r="F29" s="113" t="s">
        <v>2</v>
      </c>
      <c r="G29" s="113" t="s">
        <v>3</v>
      </c>
      <c r="H29" s="113" t="s">
        <v>8</v>
      </c>
      <c r="I29" s="113" t="s">
        <v>9</v>
      </c>
      <c r="J29" s="113" t="s">
        <v>10</v>
      </c>
      <c r="K29" s="113" t="s">
        <v>11</v>
      </c>
      <c r="L29" s="113" t="s">
        <v>12</v>
      </c>
      <c r="M29" s="113" t="s">
        <v>13</v>
      </c>
      <c r="N29" s="114" t="s">
        <v>45</v>
      </c>
      <c r="O29" s="115" t="s">
        <v>46</v>
      </c>
    </row>
    <row r="30" spans="2:15">
      <c r="B30" s="309" t="s">
        <v>4</v>
      </c>
      <c r="C30" s="310"/>
      <c r="D30" s="80">
        <f>D24*D4*0.01</f>
        <v>-69.117192357245315</v>
      </c>
      <c r="E30" s="35">
        <f>E24*E4*0.01</f>
        <v>0</v>
      </c>
      <c r="F30" s="35">
        <f>F24*F4*0.01</f>
        <v>0</v>
      </c>
      <c r="G30" s="35">
        <f>G24*G4*0.01</f>
        <v>0</v>
      </c>
      <c r="H30" s="35">
        <f t="shared" ref="H30:O30" si="8">H24*H4*0.01</f>
        <v>-51.567208868623595</v>
      </c>
      <c r="I30" s="35">
        <f t="shared" si="8"/>
        <v>-43.559916006351834</v>
      </c>
      <c r="J30" s="35">
        <f t="shared" si="8"/>
        <v>-45.548408723453761</v>
      </c>
      <c r="K30" s="35">
        <f t="shared" si="8"/>
        <v>-34.367208868623592</v>
      </c>
      <c r="L30" s="35">
        <f t="shared" si="8"/>
        <v>-36.782635367856074</v>
      </c>
      <c r="M30" s="35">
        <f t="shared" si="8"/>
        <v>-39.616134610676163</v>
      </c>
      <c r="N30" s="35">
        <f t="shared" si="8"/>
        <v>-35.535670574209021</v>
      </c>
      <c r="O30" s="36">
        <f t="shared" si="8"/>
        <v>-35.949421435773132</v>
      </c>
    </row>
    <row r="31" spans="2:15">
      <c r="B31" s="309" t="s">
        <v>5</v>
      </c>
      <c r="C31" s="310"/>
      <c r="D31" s="80">
        <f>D25*D5*0.005</f>
        <v>0</v>
      </c>
      <c r="E31" s="35">
        <f>E25*E5*0.005</f>
        <v>-34.564977433110442</v>
      </c>
      <c r="F31" s="35">
        <f t="shared" ref="F31:O31" si="9">F25*F5*0.005</f>
        <v>0</v>
      </c>
      <c r="G31" s="35">
        <f t="shared" si="9"/>
        <v>0</v>
      </c>
      <c r="H31" s="35">
        <f t="shared" si="9"/>
        <v>-22.560653880022819</v>
      </c>
      <c r="I31" s="35">
        <f t="shared" si="9"/>
        <v>-19.057463252778923</v>
      </c>
      <c r="J31" s="35">
        <f t="shared" si="9"/>
        <v>-19.927428816511018</v>
      </c>
      <c r="K31" s="35">
        <f t="shared" si="9"/>
        <v>-15.035653880022819</v>
      </c>
      <c r="L31" s="35">
        <f t="shared" si="9"/>
        <v>-16.092402973437029</v>
      </c>
      <c r="M31" s="35">
        <f t="shared" si="9"/>
        <v>-17.332058892170817</v>
      </c>
      <c r="N31" s="35">
        <f t="shared" si="9"/>
        <v>-15.546855876216446</v>
      </c>
      <c r="O31" s="36">
        <f t="shared" si="9"/>
        <v>-15.727871878150745</v>
      </c>
    </row>
    <row r="32" spans="2:15">
      <c r="B32" s="309" t="s">
        <v>6</v>
      </c>
      <c r="C32" s="310"/>
      <c r="D32" s="80">
        <f>D26*D6*0.003</f>
        <v>0</v>
      </c>
      <c r="E32" s="35">
        <f>E26*E6*0.003</f>
        <v>0</v>
      </c>
      <c r="F32" s="35">
        <f>F26*F6*0.003</f>
        <v>-10.240737473653988</v>
      </c>
      <c r="G32" s="35">
        <f t="shared" ref="G32:O32" si="10">G26*G6*0.003</f>
        <v>0</v>
      </c>
      <c r="H32" s="35">
        <f t="shared" si="10"/>
        <v>-5.8013109977201536</v>
      </c>
      <c r="I32" s="35">
        <f t="shared" si="10"/>
        <v>-4.9004905507145802</v>
      </c>
      <c r="J32" s="35">
        <f t="shared" si="10"/>
        <v>-5.1241959813885476</v>
      </c>
      <c r="K32" s="35">
        <f t="shared" si="10"/>
        <v>-3.8663109977201531</v>
      </c>
      <c r="L32" s="35">
        <f t="shared" si="10"/>
        <v>-4.1380464788838074</v>
      </c>
      <c r="M32" s="35">
        <f t="shared" si="10"/>
        <v>-4.4568151437010677</v>
      </c>
      <c r="N32" s="35">
        <f t="shared" si="10"/>
        <v>-3.9977629395985144</v>
      </c>
      <c r="O32" s="36">
        <f t="shared" si="10"/>
        <v>-4.0443099115244774</v>
      </c>
    </row>
    <row r="33" spans="2:15">
      <c r="B33" s="309" t="s">
        <v>7</v>
      </c>
      <c r="C33" s="310"/>
      <c r="D33" s="80">
        <f>D27*D7*0.001</f>
        <v>0</v>
      </c>
      <c r="E33" s="35">
        <f>E27*E7*0.001</f>
        <v>0</v>
      </c>
      <c r="F33" s="35">
        <f>F27*F7*0.001</f>
        <v>0</v>
      </c>
      <c r="G33" s="35">
        <f>G27*G7*0.001</f>
        <v>-2.7129954866220891</v>
      </c>
      <c r="H33" s="35">
        <f t="shared" ref="H33:O33" si="11">H27*H7*0.001</f>
        <v>-1.2891802217155899</v>
      </c>
      <c r="I33" s="35">
        <f t="shared" si="11"/>
        <v>-1.0889979001587957</v>
      </c>
      <c r="J33" s="35">
        <f t="shared" si="11"/>
        <v>-1.138710218086344</v>
      </c>
      <c r="K33" s="35">
        <f t="shared" si="11"/>
        <v>-0.85918022171558972</v>
      </c>
      <c r="L33" s="35">
        <f t="shared" si="11"/>
        <v>-0.91956588419640184</v>
      </c>
      <c r="M33" s="35">
        <f t="shared" si="11"/>
        <v>-0.99040336526690398</v>
      </c>
      <c r="N33" s="35">
        <f t="shared" si="11"/>
        <v>-0.88839176435522549</v>
      </c>
      <c r="O33" s="36">
        <f t="shared" si="11"/>
        <v>-0.89873553589432831</v>
      </c>
    </row>
    <row r="34" spans="2:15" ht="18" thickBot="1">
      <c r="B34" s="315" t="s">
        <v>21</v>
      </c>
      <c r="C34" s="316"/>
      <c r="D34" s="81">
        <f>SUM(D30:D33)</f>
        <v>-69.117192357245315</v>
      </c>
      <c r="E34" s="82">
        <f t="shared" ref="E34:O34" si="12">SUM(E30:E33)</f>
        <v>-34.564977433110442</v>
      </c>
      <c r="F34" s="82">
        <f t="shared" si="12"/>
        <v>-10.240737473653988</v>
      </c>
      <c r="G34" s="82">
        <f t="shared" si="12"/>
        <v>-2.7129954866220891</v>
      </c>
      <c r="H34" s="82">
        <f t="shared" si="12"/>
        <v>-81.218353968082141</v>
      </c>
      <c r="I34" s="82">
        <f t="shared" si="12"/>
        <v>-68.606867710004138</v>
      </c>
      <c r="J34" s="82">
        <f t="shared" si="12"/>
        <v>-71.73874373943967</v>
      </c>
      <c r="K34" s="82">
        <f t="shared" si="12"/>
        <v>-54.128353968082159</v>
      </c>
      <c r="L34" s="82">
        <f t="shared" si="12"/>
        <v>-57.932650704373316</v>
      </c>
      <c r="M34" s="82">
        <f t="shared" si="12"/>
        <v>-62.395412011814948</v>
      </c>
      <c r="N34" s="82">
        <f t="shared" si="12"/>
        <v>-55.968681154379212</v>
      </c>
      <c r="O34" s="83">
        <f t="shared" si="12"/>
        <v>-56.62033876134268</v>
      </c>
    </row>
    <row r="35" spans="2:15" ht="26.4" thickBot="1">
      <c r="B35" s="318" t="s">
        <v>119</v>
      </c>
      <c r="C35" s="319"/>
      <c r="D35" s="298" t="s">
        <v>125</v>
      </c>
      <c r="E35" s="298"/>
      <c r="F35" s="298"/>
      <c r="G35" s="298"/>
      <c r="H35" s="298"/>
      <c r="I35" s="298"/>
      <c r="J35" s="298"/>
      <c r="K35" s="298"/>
      <c r="L35" s="298"/>
      <c r="M35" s="298"/>
      <c r="N35" s="298"/>
      <c r="O35" s="299"/>
    </row>
    <row r="36" spans="2:15" ht="18" thickTop="1">
      <c r="B36" s="320"/>
      <c r="C36" s="321"/>
      <c r="D36" s="112" t="s">
        <v>0</v>
      </c>
      <c r="E36" s="113" t="s">
        <v>1</v>
      </c>
      <c r="F36" s="113" t="s">
        <v>2</v>
      </c>
      <c r="G36" s="113" t="s">
        <v>3</v>
      </c>
      <c r="H36" s="113" t="s">
        <v>8</v>
      </c>
      <c r="I36" s="113" t="s">
        <v>9</v>
      </c>
      <c r="J36" s="113" t="s">
        <v>10</v>
      </c>
      <c r="K36" s="113" t="s">
        <v>11</v>
      </c>
      <c r="L36" s="113" t="s">
        <v>12</v>
      </c>
      <c r="M36" s="113" t="s">
        <v>13</v>
      </c>
      <c r="N36" s="114" t="s">
        <v>45</v>
      </c>
      <c r="O36" s="115" t="s">
        <v>46</v>
      </c>
    </row>
    <row r="37" spans="2:15" ht="18" thickBot="1">
      <c r="B37" s="315" t="s">
        <v>52</v>
      </c>
      <c r="C37" s="316"/>
      <c r="D37" s="77">
        <f>INT(D8+D21+D34)</f>
        <v>9943</v>
      </c>
      <c r="E37" s="78">
        <f t="shared" ref="E37:M37" si="13">INT(E8+E21+E34)</f>
        <v>9910</v>
      </c>
      <c r="F37" s="78">
        <f t="shared" si="13"/>
        <v>4900</v>
      </c>
      <c r="G37" s="78">
        <f t="shared" si="13"/>
        <v>4008</v>
      </c>
      <c r="H37" s="78">
        <f t="shared" si="13"/>
        <v>13042</v>
      </c>
      <c r="I37" s="78">
        <f t="shared" si="13"/>
        <v>11017</v>
      </c>
      <c r="J37" s="78">
        <f t="shared" si="13"/>
        <v>11520</v>
      </c>
      <c r="K37" s="78">
        <f t="shared" si="13"/>
        <v>8692</v>
      </c>
      <c r="L37" s="78">
        <f t="shared" si="13"/>
        <v>9303</v>
      </c>
      <c r="M37" s="78">
        <f t="shared" si="13"/>
        <v>10019</v>
      </c>
      <c r="N37" s="78">
        <f>INT(N8+N21+N34)*(1-LN(파라미터!U22-파라미터!V22+1)/20)</f>
        <v>6042.6305809610067</v>
      </c>
      <c r="O37" s="79">
        <f>INT(O8+O21+O34)*(1-LN(파라미터!U23-파라미터!V23+1)/20)</f>
        <v>6052.6076134627237</v>
      </c>
    </row>
    <row r="38" spans="2:15">
      <c r="B38" s="317"/>
      <c r="C38" s="317"/>
    </row>
    <row r="39" spans="2:15">
      <c r="B39" s="317"/>
      <c r="C39" s="317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</row>
    <row r="40" spans="2:15">
      <c r="B40" s="317"/>
      <c r="C40" s="317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</row>
  </sheetData>
  <mergeCells count="39">
    <mergeCell ref="B21:C21"/>
    <mergeCell ref="B8:C8"/>
    <mergeCell ref="B37:C37"/>
    <mergeCell ref="B35:C36"/>
    <mergeCell ref="B22:C23"/>
    <mergeCell ref="B15:C16"/>
    <mergeCell ref="B9:C10"/>
    <mergeCell ref="D35:O35"/>
    <mergeCell ref="B38:C38"/>
    <mergeCell ref="B39:C39"/>
    <mergeCell ref="B40:C40"/>
    <mergeCell ref="B28:C29"/>
    <mergeCell ref="D28:O28"/>
    <mergeCell ref="B30:C30"/>
    <mergeCell ref="B31:C31"/>
    <mergeCell ref="B32:C32"/>
    <mergeCell ref="B33:C33"/>
    <mergeCell ref="B34:C34"/>
    <mergeCell ref="D22:O22"/>
    <mergeCell ref="B24:C24"/>
    <mergeCell ref="B25:C25"/>
    <mergeCell ref="B26:C26"/>
    <mergeCell ref="B27:C27"/>
    <mergeCell ref="D15:O15"/>
    <mergeCell ref="B17:C17"/>
    <mergeCell ref="B18:C18"/>
    <mergeCell ref="B19:C19"/>
    <mergeCell ref="B20:C20"/>
    <mergeCell ref="D9:O9"/>
    <mergeCell ref="B11:C11"/>
    <mergeCell ref="B12:C12"/>
    <mergeCell ref="B13:C13"/>
    <mergeCell ref="B14:C14"/>
    <mergeCell ref="B7:C7"/>
    <mergeCell ref="B2:C3"/>
    <mergeCell ref="D2:O2"/>
    <mergeCell ref="B4:C4"/>
    <mergeCell ref="B5:C5"/>
    <mergeCell ref="B6:C6"/>
  </mergeCells>
  <phoneticPr fontId="1" type="noConversion"/>
  <pageMargins left="0.7" right="0.7" top="0.75" bottom="0.75" header="0.3" footer="0.3"/>
  <ignoredErrors>
    <ignoredError sqref="E5 F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DFC4B-0DB9-427E-AD5F-E3F34263795D}">
  <sheetPr codeName="Sheet5"/>
  <dimension ref="B1:O44"/>
  <sheetViews>
    <sheetView zoomScaleNormal="100" workbookViewId="0">
      <selection activeCell="C44" sqref="C44"/>
    </sheetView>
  </sheetViews>
  <sheetFormatPr defaultColWidth="9" defaultRowHeight="17.399999999999999"/>
  <cols>
    <col min="1" max="1" width="3.59765625" style="21" customWidth="1"/>
    <col min="2" max="2" width="17.19921875" style="21" bestFit="1" customWidth="1"/>
    <col min="3" max="3" width="12.8984375" style="21" bestFit="1" customWidth="1"/>
    <col min="4" max="7" width="15.69921875" style="21" bestFit="1" customWidth="1"/>
    <col min="8" max="11" width="14.09765625" style="21" bestFit="1" customWidth="1"/>
    <col min="12" max="13" width="13.8984375" style="21" bestFit="1" customWidth="1"/>
    <col min="14" max="14" width="16" style="21" bestFit="1" customWidth="1"/>
    <col min="15" max="15" width="14.09765625" style="21" bestFit="1" customWidth="1"/>
    <col min="16" max="16384" width="9" style="21"/>
  </cols>
  <sheetData>
    <row r="1" spans="2:15" ht="18" thickBot="1">
      <c r="B1" s="22"/>
      <c r="C1" s="22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2:15" ht="26.4" thickBot="1">
      <c r="B2" s="336" t="s">
        <v>134</v>
      </c>
      <c r="C2" s="337"/>
      <c r="D2" s="298" t="s">
        <v>60</v>
      </c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9"/>
    </row>
    <row r="3" spans="2:15" ht="18" thickTop="1">
      <c r="B3" s="329"/>
      <c r="C3" s="319"/>
      <c r="D3" s="112" t="s">
        <v>0</v>
      </c>
      <c r="E3" s="113" t="s">
        <v>1</v>
      </c>
      <c r="F3" s="113" t="s">
        <v>2</v>
      </c>
      <c r="G3" s="113" t="s">
        <v>3</v>
      </c>
      <c r="H3" s="113" t="s">
        <v>8</v>
      </c>
      <c r="I3" s="113" t="s">
        <v>9</v>
      </c>
      <c r="J3" s="113" t="s">
        <v>10</v>
      </c>
      <c r="K3" s="113" t="s">
        <v>11</v>
      </c>
      <c r="L3" s="113" t="s">
        <v>12</v>
      </c>
      <c r="M3" s="113" t="s">
        <v>13</v>
      </c>
      <c r="N3" s="114" t="s">
        <v>45</v>
      </c>
      <c r="O3" s="115" t="s">
        <v>46</v>
      </c>
    </row>
    <row r="4" spans="2:15" ht="18" thickBot="1">
      <c r="B4" s="315" t="s">
        <v>62</v>
      </c>
      <c r="C4" s="316"/>
      <c r="D4" s="93">
        <f>-'아이템(수요)'!D37*파라미터!C16/100</f>
        <v>-447.435</v>
      </c>
      <c r="E4" s="94">
        <f>-'아이템(수요)'!E37*파라미터!D16/100</f>
        <v>-247.75</v>
      </c>
      <c r="F4" s="94">
        <f>-'아이템(수요)'!F37*파라미터!E16/100</f>
        <v>-98</v>
      </c>
      <c r="G4" s="94">
        <f>-'아이템(수요)'!G37*파라미터!F16/100</f>
        <v>-16.032</v>
      </c>
      <c r="H4" s="94">
        <f>-'아이템(수요)'!H37*파라미터!G16/100</f>
        <v>-182.58799999999999</v>
      </c>
      <c r="I4" s="94">
        <f>-'아이템(수요)'!I37*파라미터!H16/100</f>
        <v>-187.28899999999999</v>
      </c>
      <c r="J4" s="94">
        <f>-'아이템(수요)'!J37*파라미터!I16/100</f>
        <v>-149.76</v>
      </c>
      <c r="K4" s="94">
        <f>-'아이템(수요)'!K37*파라미터!J16/100</f>
        <v>-104.304</v>
      </c>
      <c r="L4" s="94">
        <f>-'아이템(수요)'!L37*파라미터!K16/100</f>
        <v>-167.45400000000001</v>
      </c>
      <c r="M4" s="94">
        <f>-'아이템(수요)'!M37*파라미터!L16/100</f>
        <v>-200.38</v>
      </c>
      <c r="N4" s="94">
        <f>-'아이템(수요)'!N37*파라미터!M16/100</f>
        <v>-90.639458714415099</v>
      </c>
      <c r="O4" s="95">
        <f>-'아이템(수요)'!O37*파라미터!N16/100</f>
        <v>-127.1047598827172</v>
      </c>
    </row>
    <row r="5" spans="2:15" ht="26.4" thickBot="1">
      <c r="B5" s="327" t="s">
        <v>134</v>
      </c>
      <c r="C5" s="328"/>
      <c r="D5" s="334" t="s">
        <v>61</v>
      </c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5"/>
    </row>
    <row r="6" spans="2:15" ht="18" thickTop="1">
      <c r="B6" s="329"/>
      <c r="C6" s="319"/>
      <c r="D6" s="112" t="s">
        <v>0</v>
      </c>
      <c r="E6" s="113" t="s">
        <v>1</v>
      </c>
      <c r="F6" s="113" t="s">
        <v>2</v>
      </c>
      <c r="G6" s="113" t="s">
        <v>3</v>
      </c>
      <c r="H6" s="113" t="s">
        <v>8</v>
      </c>
      <c r="I6" s="113" t="s">
        <v>9</v>
      </c>
      <c r="J6" s="113" t="s">
        <v>10</v>
      </c>
      <c r="K6" s="113" t="s">
        <v>11</v>
      </c>
      <c r="L6" s="113" t="s">
        <v>12</v>
      </c>
      <c r="M6" s="113" t="s">
        <v>13</v>
      </c>
      <c r="N6" s="114" t="s">
        <v>45</v>
      </c>
      <c r="O6" s="115" t="s">
        <v>46</v>
      </c>
    </row>
    <row r="7" spans="2:15" ht="18" thickBot="1">
      <c r="B7" s="315" t="s">
        <v>63</v>
      </c>
      <c r="C7" s="316"/>
      <c r="D7" s="93">
        <f>'아이템(공급)'!D13*파라미터!C20/100</f>
        <v>177.28</v>
      </c>
      <c r="E7" s="94">
        <f>'아이템(공급)'!E13*파라미터!D20/100</f>
        <v>144.01400000000001</v>
      </c>
      <c r="F7" s="94">
        <f>'아이템(공급)'!F13*파라미터!E20/100</f>
        <v>29.64</v>
      </c>
      <c r="G7" s="94">
        <f>'아이템(공급)'!G13*파라미터!F20/100</f>
        <v>14.693999999999999</v>
      </c>
      <c r="H7" s="94">
        <f>'아이템(공급)'!H13*파라미터!G20/100</f>
        <v>169.82399999999998</v>
      </c>
      <c r="I7" s="94">
        <f>'아이템(공급)'!I13*파라미터!H20/100</f>
        <v>84.657999999999987</v>
      </c>
      <c r="J7" s="94">
        <f>'아이템(공급)'!J13*파라미터!I20/100</f>
        <v>100.896</v>
      </c>
      <c r="K7" s="94">
        <f>'아이템(공급)'!K13*파라미터!J20/100</f>
        <v>87.507000000000005</v>
      </c>
      <c r="L7" s="94">
        <f>'아이템(공급)'!L13*파라미터!K20/100</f>
        <v>124.044</v>
      </c>
      <c r="M7" s="94">
        <f>'아이템(공급)'!M13*파라미터!L20/100</f>
        <v>143.91</v>
      </c>
      <c r="N7" s="94">
        <f>'아이템(공급)'!N13*파라미터!M20/100</f>
        <v>375.56</v>
      </c>
      <c r="O7" s="95">
        <f>'아이템(공급)'!O13*파라미터!N20/100</f>
        <v>379.56</v>
      </c>
    </row>
    <row r="8" spans="2:15" ht="26.4" thickBot="1">
      <c r="B8" s="327" t="s">
        <v>133</v>
      </c>
      <c r="C8" s="328"/>
      <c r="D8" s="334" t="s">
        <v>66</v>
      </c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5"/>
    </row>
    <row r="9" spans="2:15" ht="18" thickTop="1">
      <c r="B9" s="329"/>
      <c r="C9" s="319"/>
      <c r="D9" s="112" t="s">
        <v>0</v>
      </c>
      <c r="E9" s="113" t="s">
        <v>1</v>
      </c>
      <c r="F9" s="113" t="s">
        <v>2</v>
      </c>
      <c r="G9" s="113" t="s">
        <v>3</v>
      </c>
      <c r="H9" s="120" t="s">
        <v>8</v>
      </c>
      <c r="I9" s="113" t="s">
        <v>9</v>
      </c>
      <c r="J9" s="113" t="s">
        <v>10</v>
      </c>
      <c r="K9" s="113" t="s">
        <v>11</v>
      </c>
      <c r="L9" s="113" t="s">
        <v>12</v>
      </c>
      <c r="M9" s="113" t="s">
        <v>13</v>
      </c>
      <c r="N9" s="114" t="s">
        <v>45</v>
      </c>
      <c r="O9" s="115" t="s">
        <v>46</v>
      </c>
    </row>
    <row r="10" spans="2:15">
      <c r="B10" s="309" t="s">
        <v>128</v>
      </c>
      <c r="C10" s="310"/>
      <c r="D10" s="96">
        <f>'아이템(수요)'!D37</f>
        <v>9943</v>
      </c>
      <c r="E10" s="96">
        <f>'아이템(수요)'!E37</f>
        <v>9910</v>
      </c>
      <c r="F10" s="96">
        <f>'아이템(수요)'!F37</f>
        <v>4900</v>
      </c>
      <c r="G10" s="96">
        <f>'아이템(수요)'!G37</f>
        <v>4008</v>
      </c>
      <c r="H10" s="96">
        <f>'아이템(수요)'!H37</f>
        <v>13042</v>
      </c>
      <c r="I10" s="96">
        <f>'아이템(수요)'!I37</f>
        <v>11017</v>
      </c>
      <c r="J10" s="96">
        <f>'아이템(수요)'!J37</f>
        <v>11520</v>
      </c>
      <c r="K10" s="96">
        <f>'아이템(수요)'!K37</f>
        <v>8692</v>
      </c>
      <c r="L10" s="96">
        <f>'아이템(수요)'!L37</f>
        <v>9303</v>
      </c>
      <c r="M10" s="96">
        <f>'아이템(수요)'!M37</f>
        <v>10019</v>
      </c>
      <c r="N10" s="96">
        <f>'아이템(수요)'!N37</f>
        <v>6042.6305809610067</v>
      </c>
      <c r="O10" s="98">
        <f>'아이템(수요)'!O37</f>
        <v>6052.6076134627237</v>
      </c>
    </row>
    <row r="11" spans="2:15" ht="18" thickBot="1">
      <c r="B11" s="315" t="s">
        <v>129</v>
      </c>
      <c r="C11" s="316"/>
      <c r="D11" s="99">
        <f>'아이템(공급)'!D13</f>
        <v>11080</v>
      </c>
      <c r="E11" s="99">
        <f>'아이템(공급)'!E13</f>
        <v>11078</v>
      </c>
      <c r="F11" s="99">
        <f>'아이템(공급)'!F13</f>
        <v>5928</v>
      </c>
      <c r="G11" s="99">
        <f>'아이템(공급)'!G13</f>
        <v>4898</v>
      </c>
      <c r="H11" s="99">
        <f>'아이템(공급)'!H13</f>
        <v>14152</v>
      </c>
      <c r="I11" s="99">
        <f>'아이템(공급)'!I13</f>
        <v>12094</v>
      </c>
      <c r="J11" s="99">
        <f>'아이템(공급)'!J13</f>
        <v>12612</v>
      </c>
      <c r="K11" s="99">
        <f>'아이템(공급)'!K13</f>
        <v>9723</v>
      </c>
      <c r="L11" s="99">
        <f>'아이템(공급)'!L13</f>
        <v>10337</v>
      </c>
      <c r="M11" s="99">
        <f>'아이템(공급)'!M13</f>
        <v>11070</v>
      </c>
      <c r="N11" s="99">
        <f>'아이템(공급)'!N13</f>
        <v>9389</v>
      </c>
      <c r="O11" s="100">
        <f>'아이템(공급)'!O13</f>
        <v>9489</v>
      </c>
    </row>
    <row r="12" spans="2:15" ht="26.4" thickBot="1">
      <c r="B12" s="327" t="s">
        <v>132</v>
      </c>
      <c r="C12" s="328"/>
      <c r="D12" s="334" t="s">
        <v>67</v>
      </c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5"/>
    </row>
    <row r="13" spans="2:15" ht="18" thickTop="1">
      <c r="B13" s="329"/>
      <c r="C13" s="319"/>
      <c r="D13" s="112" t="s">
        <v>0</v>
      </c>
      <c r="E13" s="113" t="s">
        <v>1</v>
      </c>
      <c r="F13" s="113" t="s">
        <v>2</v>
      </c>
      <c r="G13" s="113" t="s">
        <v>3</v>
      </c>
      <c r="H13" s="113" t="s">
        <v>8</v>
      </c>
      <c r="I13" s="113" t="s">
        <v>9</v>
      </c>
      <c r="J13" s="113" t="s">
        <v>10</v>
      </c>
      <c r="K13" s="113" t="s">
        <v>11</v>
      </c>
      <c r="L13" s="113" t="s">
        <v>12</v>
      </c>
      <c r="M13" s="113" t="s">
        <v>13</v>
      </c>
      <c r="N13" s="114" t="s">
        <v>45</v>
      </c>
      <c r="O13" s="115" t="s">
        <v>46</v>
      </c>
    </row>
    <row r="14" spans="2:15">
      <c r="B14" s="330" t="s">
        <v>94</v>
      </c>
      <c r="C14" s="331"/>
      <c r="D14" s="96">
        <f>'아이템(수요)'!D37+D17*'아이템(가격)'!D4</f>
        <v>10925.726219395068</v>
      </c>
      <c r="E14" s="97">
        <f>'아이템(수요)'!E37+E17*'아이템(가격)'!E4</f>
        <v>10783.013022133689</v>
      </c>
      <c r="F14" s="97">
        <f>'아이템(수요)'!F37+F17*'아이템(가격)'!F4</f>
        <v>5841.8444205527203</v>
      </c>
      <c r="G14" s="97">
        <f>'아이템(수요)'!G37+G17*'아이템(가격)'!G4</f>
        <v>4491.6827400431121</v>
      </c>
      <c r="H14" s="97">
        <f>'아이템(수요)'!H37+H17*'아이템(가격)'!H4</f>
        <v>13637.15037573985</v>
      </c>
      <c r="I14" s="97">
        <f>'아이템(수요)'!I37+I17*'아이템(가격)'!I4</f>
        <v>11911.280391957196</v>
      </c>
      <c r="J14" s="97">
        <f>'아이템(수요)'!J37+J17*'아이템(가격)'!J4</f>
        <v>12271.08540723206</v>
      </c>
      <c r="K14" s="97">
        <f>'아이템(수요)'!K37+K17*'아이템(가격)'!K4</f>
        <v>9297.0981639273559</v>
      </c>
      <c r="L14" s="97">
        <f>'아이템(수요)'!L37+L17*'아이템(가격)'!L4</f>
        <v>9970.6428433778492</v>
      </c>
      <c r="M14" s="97">
        <f>'아이템(수요)'!M37+M17*'아이템(가격)'!M4</f>
        <v>10712.367660295724</v>
      </c>
      <c r="N14" s="97">
        <f>'아이템(수요)'!N37+N17*'아이템(가격)'!N4</f>
        <v>6226.8191396807679</v>
      </c>
      <c r="O14" s="98">
        <f>'아이템(수요)'!O37+O17*'아이템(가격)'!O4</f>
        <v>6399.1096717648516</v>
      </c>
    </row>
    <row r="15" spans="2:15">
      <c r="B15" s="309" t="s">
        <v>95</v>
      </c>
      <c r="C15" s="310"/>
      <c r="D15" s="96">
        <f>'아이템(공급)'!D13+D18*'아이템(가격)'!D7</f>
        <v>10925.72621939507</v>
      </c>
      <c r="E15" s="97">
        <f>'아이템(공급)'!E13+E18*'아이템(가격)'!E7</f>
        <v>10783.013022133689</v>
      </c>
      <c r="F15" s="97">
        <f>'아이템(공급)'!F13+F18*'아이템(가격)'!F7</f>
        <v>5841.8444205527203</v>
      </c>
      <c r="G15" s="97">
        <f>'아이템(공급)'!G13+G18*'아이템(가격)'!G7</f>
        <v>4491.6827400431121</v>
      </c>
      <c r="H15" s="97">
        <f>'아이템(공급)'!H13+H18*'아이템(가격)'!H7</f>
        <v>13637.150375739851</v>
      </c>
      <c r="I15" s="97">
        <f>'아이템(공급)'!I13+I18*'아이템(가격)'!I7</f>
        <v>11911.280390957198</v>
      </c>
      <c r="J15" s="97">
        <f>'아이템(공급)'!J13+J18*'아이템(가격)'!J7</f>
        <v>12271.08540723206</v>
      </c>
      <c r="K15" s="97">
        <f>'아이템(공급)'!K13+K18*'아이템(가격)'!K7</f>
        <v>9297.0981629273574</v>
      </c>
      <c r="L15" s="97">
        <f>'아이템(공급)'!L13+L18*'아이템(가격)'!L7</f>
        <v>9970.6428433778492</v>
      </c>
      <c r="M15" s="97">
        <f>'아이템(공급)'!M13+M18*'아이템(가격)'!M7</f>
        <v>10712.367660295724</v>
      </c>
      <c r="N15" s="97">
        <f>'아이템(공급)'!N13+N18*'아이템(가격)'!N7</f>
        <v>6226.8191396807679</v>
      </c>
      <c r="O15" s="98">
        <f>'아이템(공급)'!O13+O18*'아이템(가격)'!O7</f>
        <v>6399.1096707648521</v>
      </c>
    </row>
    <row r="16" spans="2:15">
      <c r="B16" s="309" t="s">
        <v>69</v>
      </c>
      <c r="C16" s="310"/>
      <c r="D16" s="96">
        <f>D14-D15</f>
        <v>0</v>
      </c>
      <c r="E16" s="97">
        <f t="shared" ref="E16:O16" si="0">E14-E15</f>
        <v>0</v>
      </c>
      <c r="F16" s="97">
        <f t="shared" si="0"/>
        <v>0</v>
      </c>
      <c r="G16" s="97">
        <f t="shared" si="0"/>
        <v>0</v>
      </c>
      <c r="H16" s="97">
        <f t="shared" si="0"/>
        <v>0</v>
      </c>
      <c r="I16" s="97">
        <f t="shared" si="0"/>
        <v>9.9999851954635233E-7</v>
      </c>
      <c r="J16" s="97">
        <f t="shared" si="0"/>
        <v>0</v>
      </c>
      <c r="K16" s="97">
        <f t="shared" si="0"/>
        <v>9.9999851954635233E-7</v>
      </c>
      <c r="L16" s="97">
        <f t="shared" si="0"/>
        <v>0</v>
      </c>
      <c r="M16" s="97">
        <f t="shared" si="0"/>
        <v>0</v>
      </c>
      <c r="N16" s="97">
        <f t="shared" si="0"/>
        <v>0</v>
      </c>
      <c r="O16" s="98">
        <f t="shared" si="0"/>
        <v>9.999994290410541E-7</v>
      </c>
    </row>
    <row r="17" spans="2:15">
      <c r="B17" s="309" t="s">
        <v>64</v>
      </c>
      <c r="C17" s="310"/>
      <c r="D17" s="131">
        <v>-2.1963552681284852</v>
      </c>
      <c r="E17" s="132">
        <v>-3.5237659823761449</v>
      </c>
      <c r="F17" s="132">
        <v>-9.6106573525787784</v>
      </c>
      <c r="G17" s="132">
        <v>-30.169831589515464</v>
      </c>
      <c r="H17" s="132">
        <v>-3.2595262325007672</v>
      </c>
      <c r="I17" s="132">
        <v>-4.7748687427302006</v>
      </c>
      <c r="J17" s="132">
        <v>-5.0152604649576595</v>
      </c>
      <c r="K17" s="132">
        <v>-5.8012939477618959</v>
      </c>
      <c r="L17" s="132">
        <v>-3.9870223666072442</v>
      </c>
      <c r="M17" s="132">
        <v>-3.4602638002581263</v>
      </c>
      <c r="N17" s="132">
        <v>-2.0321012650803518</v>
      </c>
      <c r="O17" s="133">
        <v>-2.7261139442917357</v>
      </c>
    </row>
    <row r="18" spans="2:15">
      <c r="B18" s="309" t="s">
        <v>65</v>
      </c>
      <c r="C18" s="310"/>
      <c r="D18" s="131">
        <v>-0.87022665052420334</v>
      </c>
      <c r="E18" s="132">
        <v>-2.0483215372554811</v>
      </c>
      <c r="F18" s="132">
        <v>-2.9067334496383186</v>
      </c>
      <c r="G18" s="132">
        <v>-27.65191642554019</v>
      </c>
      <c r="H18" s="132">
        <v>-3.0316658673694485</v>
      </c>
      <c r="I18" s="132">
        <v>-2.1583265496799267</v>
      </c>
      <c r="J18" s="132">
        <v>-3.3788712413568489</v>
      </c>
      <c r="K18" s="132">
        <v>-4.8670602017283526</v>
      </c>
      <c r="L18" s="132">
        <v>-2.9534452018811908</v>
      </c>
      <c r="M18" s="132">
        <v>-2.4851111090561924</v>
      </c>
      <c r="N18" s="132">
        <v>-8.4199085640622862</v>
      </c>
      <c r="O18" s="133">
        <v>-8.1407164328041617</v>
      </c>
    </row>
    <row r="19" spans="2:15" ht="18" thickBot="1">
      <c r="B19" s="315" t="s">
        <v>68</v>
      </c>
      <c r="C19" s="316"/>
      <c r="D19" s="101">
        <f>SUM(D17:D18)/100</f>
        <v>-3.0665819186526885E-2</v>
      </c>
      <c r="E19" s="102">
        <f t="shared" ref="E19:O19" si="1">SUM(E17:E18)/100</f>
        <v>-5.5720875196316265E-2</v>
      </c>
      <c r="F19" s="102">
        <f t="shared" si="1"/>
        <v>-0.12517390802217096</v>
      </c>
      <c r="G19" s="102">
        <f t="shared" si="1"/>
        <v>-0.57821748015055652</v>
      </c>
      <c r="H19" s="102">
        <f t="shared" si="1"/>
        <v>-6.2911920998702159E-2</v>
      </c>
      <c r="I19" s="102">
        <f t="shared" si="1"/>
        <v>-6.933195292410127E-2</v>
      </c>
      <c r="J19" s="102">
        <f t="shared" si="1"/>
        <v>-8.3941317063145088E-2</v>
      </c>
      <c r="K19" s="102">
        <f t="shared" si="1"/>
        <v>-0.10668354149490249</v>
      </c>
      <c r="L19" s="102">
        <f t="shared" si="1"/>
        <v>-6.9404675684884343E-2</v>
      </c>
      <c r="M19" s="102">
        <f t="shared" si="1"/>
        <v>-5.9453749093143188E-2</v>
      </c>
      <c r="N19" s="102">
        <f t="shared" si="1"/>
        <v>-0.10452009829142637</v>
      </c>
      <c r="O19" s="103">
        <f t="shared" si="1"/>
        <v>-0.10866830377095898</v>
      </c>
    </row>
    <row r="20" spans="2:15" ht="26.4" thickBot="1">
      <c r="B20" s="327" t="s">
        <v>132</v>
      </c>
      <c r="C20" s="328"/>
      <c r="D20" s="322" t="s">
        <v>83</v>
      </c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4"/>
    </row>
    <row r="21" spans="2:15" ht="17.25" customHeight="1" thickTop="1">
      <c r="B21" s="329"/>
      <c r="C21" s="319"/>
      <c r="D21" s="121" t="s">
        <v>0</v>
      </c>
      <c r="E21" s="121" t="s">
        <v>1</v>
      </c>
      <c r="F21" s="121" t="s">
        <v>2</v>
      </c>
      <c r="G21" s="121" t="s">
        <v>3</v>
      </c>
      <c r="H21" s="121" t="s">
        <v>8</v>
      </c>
      <c r="I21" s="121" t="s">
        <v>9</v>
      </c>
      <c r="J21" s="121" t="s">
        <v>10</v>
      </c>
      <c r="K21" s="121" t="s">
        <v>11</v>
      </c>
      <c r="L21" s="121" t="s">
        <v>12</v>
      </c>
      <c r="M21" s="121" t="s">
        <v>13</v>
      </c>
      <c r="N21" s="122" t="s">
        <v>45</v>
      </c>
      <c r="O21" s="123" t="s">
        <v>46</v>
      </c>
    </row>
    <row r="22" spans="2:15">
      <c r="B22" s="332" t="s">
        <v>58</v>
      </c>
      <c r="C22" s="333"/>
      <c r="D22" s="104">
        <f>파라미터!C12*(1+D19)</f>
        <v>290800.25424404192</v>
      </c>
      <c r="E22" s="104">
        <f>파라미터!D12*(1+E19)</f>
        <v>236069.78120092093</v>
      </c>
      <c r="F22" s="104">
        <f>파라미터!E12*(1+F19)</f>
        <v>201210.00115490067</v>
      </c>
      <c r="G22" s="104">
        <f>파라미터!F12*(1+G19)</f>
        <v>105445.62996236086</v>
      </c>
      <c r="H22" s="104">
        <f>파라미터!G12*(1+H19)</f>
        <v>46854.403950064894</v>
      </c>
      <c r="I22" s="104">
        <f>파라미터!H12*(1+I19)</f>
        <v>55840.082824553931</v>
      </c>
      <c r="J22" s="104">
        <f>파라미터!I12*(1+J19)</f>
        <v>73284.694634948391</v>
      </c>
      <c r="K22" s="104">
        <f>파라미터!J12*(1+K19)</f>
        <v>44665.822925254877</v>
      </c>
      <c r="L22" s="104">
        <f>파라미터!K12*(1+L19)</f>
        <v>31640.241026713935</v>
      </c>
      <c r="M22" s="104">
        <f>파라미터!L12*(1+M19)</f>
        <v>37621.850036274271</v>
      </c>
      <c r="N22" s="104">
        <f>파라미터!M12*(1+N19)</f>
        <v>98502.789187943097</v>
      </c>
      <c r="O22" s="105">
        <f>파라미터!N12*(1+O19)</f>
        <v>69523.872305865196</v>
      </c>
    </row>
    <row r="23" spans="2:15">
      <c r="B23" s="325" t="s">
        <v>70</v>
      </c>
      <c r="C23" s="326"/>
      <c r="D23" s="106">
        <f t="shared" ref="D23:O23" si="2">D15</f>
        <v>10925.72621939507</v>
      </c>
      <c r="E23" s="106">
        <f t="shared" si="2"/>
        <v>10783.013022133689</v>
      </c>
      <c r="F23" s="106">
        <f t="shared" si="2"/>
        <v>5841.8444205527203</v>
      </c>
      <c r="G23" s="106">
        <f t="shared" si="2"/>
        <v>4491.6827400431121</v>
      </c>
      <c r="H23" s="106">
        <f t="shared" si="2"/>
        <v>13637.150375739851</v>
      </c>
      <c r="I23" s="106">
        <f t="shared" si="2"/>
        <v>11911.280390957198</v>
      </c>
      <c r="J23" s="106">
        <f t="shared" si="2"/>
        <v>12271.08540723206</v>
      </c>
      <c r="K23" s="106">
        <f t="shared" si="2"/>
        <v>9297.0981629273574</v>
      </c>
      <c r="L23" s="106">
        <f t="shared" si="2"/>
        <v>9970.6428433778492</v>
      </c>
      <c r="M23" s="106">
        <f t="shared" si="2"/>
        <v>10712.367660295724</v>
      </c>
      <c r="N23" s="106">
        <f t="shared" si="2"/>
        <v>6226.8191396807679</v>
      </c>
      <c r="O23" s="107">
        <f t="shared" si="2"/>
        <v>6399.1096707648521</v>
      </c>
    </row>
    <row r="24" spans="2:15" ht="18" thickBot="1">
      <c r="B24" s="300" t="s">
        <v>71</v>
      </c>
      <c r="C24" s="301"/>
      <c r="D24" s="108">
        <f>D22*D23</f>
        <v>3177203962.4008813</v>
      </c>
      <c r="E24" s="108">
        <f t="shared" ref="E24:O24" si="3">E22*E23</f>
        <v>2545543524.8217812</v>
      </c>
      <c r="F24" s="108">
        <f t="shared" si="3"/>
        <v>1175437522.606163</v>
      </c>
      <c r="G24" s="108">
        <f t="shared" si="3"/>
        <v>473628316.11490911</v>
      </c>
      <c r="H24" s="108">
        <f t="shared" si="3"/>
        <v>638960552.4326942</v>
      </c>
      <c r="I24" s="108">
        <f t="shared" si="3"/>
        <v>665126883.57753503</v>
      </c>
      <c r="J24" s="108">
        <f t="shared" si="3"/>
        <v>899282746.90837288</v>
      </c>
      <c r="K24" s="108">
        <f t="shared" si="3"/>
        <v>415262540.26402575</v>
      </c>
      <c r="L24" s="108">
        <f t="shared" si="3"/>
        <v>315473542.75575548</v>
      </c>
      <c r="M24" s="108">
        <f t="shared" si="3"/>
        <v>403019089.64907998</v>
      </c>
      <c r="N24" s="108">
        <f t="shared" si="3"/>
        <v>613359053.02742386</v>
      </c>
      <c r="O24" s="109">
        <f t="shared" si="3"/>
        <v>444890883.62148267</v>
      </c>
    </row>
    <row r="41" spans="3:14">
      <c r="C41" s="21">
        <v>10925.726219403712</v>
      </c>
      <c r="D41" s="21">
        <v>8736.398561369062</v>
      </c>
      <c r="E41" s="21">
        <v>5840.0958473501523</v>
      </c>
      <c r="F41" s="21">
        <v>3459.8565950599764</v>
      </c>
      <c r="G41" s="21">
        <v>12615.49928856569</v>
      </c>
      <c r="H41" s="21">
        <v>11911.280391126853</v>
      </c>
      <c r="I41" s="21">
        <v>12271.085407232058</v>
      </c>
      <c r="J41" s="21">
        <v>10626.18386258994</v>
      </c>
      <c r="K41" s="21">
        <v>9663.4143963595816</v>
      </c>
      <c r="L41" s="21">
        <v>9166.8954486037346</v>
      </c>
      <c r="M41" s="21">
        <v>8706.6862763939153</v>
      </c>
      <c r="N41" s="21">
        <v>9030.8290700238958</v>
      </c>
    </row>
    <row r="42" spans="3:14">
      <c r="C42" s="21">
        <v>290800.25424396101</v>
      </c>
      <c r="D42" s="21">
        <v>236701.88873204353</v>
      </c>
      <c r="E42" s="21">
        <v>175038.27709650251</v>
      </c>
      <c r="F42" s="21">
        <v>104795.94739876965</v>
      </c>
      <c r="G42" s="21">
        <v>46905.413615739519</v>
      </c>
      <c r="H42" s="21">
        <v>55840.082828416431</v>
      </c>
      <c r="I42" s="21">
        <v>73284.694634948406</v>
      </c>
      <c r="J42" s="21">
        <v>44541.651980163821</v>
      </c>
      <c r="K42" s="21">
        <v>32582.582790337419</v>
      </c>
      <c r="L42" s="21">
        <v>37685.207028647557</v>
      </c>
      <c r="M42" s="21">
        <v>98769.38515832799</v>
      </c>
      <c r="N42" s="21">
        <v>79000.71993765817</v>
      </c>
    </row>
    <row r="43" spans="3:14">
      <c r="C43" s="21">
        <f>C42*C41</f>
        <v>3177203962.4025106</v>
      </c>
      <c r="D43" s="21">
        <f>D42*D41</f>
        <v>2067922040.1919649</v>
      </c>
      <c r="E43" s="21">
        <f>E42*E41</f>
        <v>1022240315.1986096</v>
      </c>
      <c r="F43" s="21">
        <f>F42*F41</f>
        <v>362578949.74319154</v>
      </c>
      <c r="G43" s="21">
        <f>G42*G41</f>
        <v>591735212.09924138</v>
      </c>
      <c r="H43" s="21">
        <f>H42*H41</f>
        <v>665126883.63301587</v>
      </c>
      <c r="I43" s="21">
        <f>I42*I41</f>
        <v>899282746.90837288</v>
      </c>
      <c r="J43" s="21">
        <f>J42*J41</f>
        <v>473307783.48471403</v>
      </c>
      <c r="K43" s="21">
        <f>K42*K41</f>
        <v>314858999.60672456</v>
      </c>
      <c r="L43" s="21">
        <f>L42*L41</f>
        <v>345456352.79059875</v>
      </c>
      <c r="M43" s="21">
        <f>M42*M41</f>
        <v>859954050.28587914</v>
      </c>
      <c r="N43" s="21">
        <f>N42*N41</f>
        <v>713441998.16581976</v>
      </c>
    </row>
    <row r="44" spans="3:14">
      <c r="C44" s="21">
        <f>SUM($C$43:$N$43)</f>
        <v>11493109294.510641</v>
      </c>
    </row>
  </sheetData>
  <mergeCells count="23">
    <mergeCell ref="B7:C7"/>
    <mergeCell ref="B2:C3"/>
    <mergeCell ref="D2:O2"/>
    <mergeCell ref="B4:C4"/>
    <mergeCell ref="B5:C6"/>
    <mergeCell ref="D5:O5"/>
    <mergeCell ref="B8:C9"/>
    <mergeCell ref="D8:O8"/>
    <mergeCell ref="B12:C13"/>
    <mergeCell ref="D12:O12"/>
    <mergeCell ref="B19:C19"/>
    <mergeCell ref="B10:C10"/>
    <mergeCell ref="B11:C11"/>
    <mergeCell ref="D20:O20"/>
    <mergeCell ref="B23:C23"/>
    <mergeCell ref="B24:C24"/>
    <mergeCell ref="B20:C21"/>
    <mergeCell ref="B14:C14"/>
    <mergeCell ref="B15:C15"/>
    <mergeCell ref="B16:C16"/>
    <mergeCell ref="B17:C17"/>
    <mergeCell ref="B18:C18"/>
    <mergeCell ref="B22:C2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F44A0-8B94-4520-8C1B-EA622AF35A4F}">
  <sheetPr codeName="Sheet7"/>
  <dimension ref="B1:F46"/>
  <sheetViews>
    <sheetView zoomScale="135" zoomScaleNormal="135" workbookViewId="0">
      <selection activeCell="B15" sqref="B15:C15"/>
    </sheetView>
  </sheetViews>
  <sheetFormatPr defaultColWidth="9" defaultRowHeight="17.399999999999999"/>
  <cols>
    <col min="1" max="1" width="5" style="21" customWidth="1"/>
    <col min="2" max="2" width="22.19921875" style="21" bestFit="1" customWidth="1"/>
    <col min="3" max="3" width="5.19921875" style="21" customWidth="1"/>
    <col min="4" max="4" width="22.09765625" style="21" customWidth="1"/>
    <col min="5" max="5" width="12.3984375" style="21" bestFit="1" customWidth="1"/>
    <col min="6" max="6" width="12.69921875" style="21" bestFit="1" customWidth="1"/>
    <col min="7" max="7" width="26.3984375" style="21" bestFit="1" customWidth="1"/>
    <col min="8" max="8" width="12.69921875" style="21" bestFit="1" customWidth="1"/>
    <col min="9" max="9" width="29.8984375" style="21" bestFit="1" customWidth="1"/>
    <col min="10" max="10" width="13.59765625" style="21" bestFit="1" customWidth="1"/>
    <col min="11" max="12" width="9" style="21"/>
    <col min="13" max="13" width="25" style="21" bestFit="1" customWidth="1"/>
    <col min="14" max="14" width="11" style="21" bestFit="1" customWidth="1"/>
    <col min="15" max="16384" width="9" style="21"/>
  </cols>
  <sheetData>
    <row r="1" spans="2:6" ht="18" thickBot="1"/>
    <row r="2" spans="2:6" ht="26.4" thickBot="1">
      <c r="B2" s="338" t="s">
        <v>107</v>
      </c>
      <c r="C2" s="339"/>
      <c r="D2" s="340"/>
    </row>
    <row r="3" spans="2:6">
      <c r="B3" s="345" t="s">
        <v>88</v>
      </c>
      <c r="C3" s="346"/>
      <c r="D3" s="124">
        <f>0.7*파라미터!Q22*파라미터!Q23*파라미터!Q21*수리!D16+수리!D16*파라미터!Q24</f>
        <v>3358851931.2414622</v>
      </c>
    </row>
    <row r="4" spans="2:6">
      <c r="B4" s="341" t="s">
        <v>89</v>
      </c>
      <c r="C4" s="342"/>
      <c r="D4" s="126">
        <f>강화!M51/180+수리!E16+0.03*SUM('아이템(가격)'!D24:O24)</f>
        <v>1992124578.4387348</v>
      </c>
    </row>
    <row r="5" spans="2:6">
      <c r="B5" s="341" t="s">
        <v>90</v>
      </c>
      <c r="C5" s="342"/>
      <c r="D5" s="126">
        <f>SUM('아이템(가격)'!D24:O24)</f>
        <v>11767188618.180107</v>
      </c>
    </row>
    <row r="6" spans="2:6" ht="18.75" customHeight="1">
      <c r="B6" s="341" t="s">
        <v>91</v>
      </c>
      <c r="C6" s="342"/>
      <c r="D6" s="126">
        <f>2000000000+D3-D4</f>
        <v>3366727352.8027277</v>
      </c>
      <c r="F6" s="200"/>
    </row>
    <row r="7" spans="2:6">
      <c r="B7" s="341" t="s">
        <v>105</v>
      </c>
      <c r="C7" s="342"/>
      <c r="D7" s="127">
        <f>-D5*파라미터!U21/100</f>
        <v>-247110960.98178226</v>
      </c>
      <c r="F7" s="200"/>
    </row>
    <row r="8" spans="2:6" ht="18" thickBot="1">
      <c r="B8" s="343" t="s">
        <v>106</v>
      </c>
      <c r="C8" s="344"/>
      <c r="D8" s="125">
        <f>D6*파라미터!U24/100</f>
        <v>13466909.411210911</v>
      </c>
      <c r="F8" s="200"/>
    </row>
    <row r="9" spans="2:6" ht="26.4" thickBot="1">
      <c r="B9" s="338" t="s">
        <v>104</v>
      </c>
      <c r="C9" s="339"/>
      <c r="D9" s="340"/>
      <c r="F9" s="200"/>
    </row>
    <row r="10" spans="2:6">
      <c r="B10" s="345" t="s">
        <v>96</v>
      </c>
      <c r="C10" s="346"/>
      <c r="D10" s="124">
        <f>D5+D7*D13</f>
        <v>3391602579.7093258</v>
      </c>
      <c r="F10" s="203"/>
    </row>
    <row r="11" spans="2:6">
      <c r="B11" s="341" t="s">
        <v>97</v>
      </c>
      <c r="C11" s="342"/>
      <c r="D11" s="126">
        <f>D6+D8*D14</f>
        <v>3391602579.7093282</v>
      </c>
      <c r="F11" s="200"/>
    </row>
    <row r="12" spans="2:6">
      <c r="B12" s="341" t="s">
        <v>98</v>
      </c>
      <c r="C12" s="342"/>
      <c r="D12" s="127">
        <f>D10-D11</f>
        <v>0</v>
      </c>
      <c r="F12" s="200"/>
    </row>
    <row r="13" spans="2:6">
      <c r="B13" s="341" t="s">
        <v>99</v>
      </c>
      <c r="C13" s="342"/>
      <c r="D13" s="5">
        <v>33.894028841109375</v>
      </c>
      <c r="F13" s="203"/>
    </row>
    <row r="14" spans="2:6">
      <c r="B14" s="341" t="s">
        <v>100</v>
      </c>
      <c r="C14" s="342"/>
      <c r="D14" s="5">
        <v>1.8471370191212699</v>
      </c>
      <c r="F14" s="200"/>
    </row>
    <row r="15" spans="2:6" ht="18" thickBot="1">
      <c r="B15" s="343" t="s">
        <v>101</v>
      </c>
      <c r="C15" s="344"/>
      <c r="D15" s="129">
        <f>SUM(D13:D14)/100</f>
        <v>0.35741165860230645</v>
      </c>
      <c r="F15" s="200"/>
    </row>
    <row r="16" spans="2:6" ht="26.4" thickBot="1">
      <c r="B16" s="338" t="s">
        <v>102</v>
      </c>
      <c r="C16" s="339"/>
      <c r="D16" s="340"/>
      <c r="F16" s="200"/>
    </row>
    <row r="17" spans="2:6">
      <c r="B17" s="345" t="s">
        <v>131</v>
      </c>
      <c r="C17" s="346"/>
      <c r="D17" s="212">
        <f>파라미터!U25*(1+D15)</f>
        <v>13574.116586023063</v>
      </c>
      <c r="F17" s="200"/>
    </row>
    <row r="18" spans="2:6" ht="18" thickBot="1">
      <c r="B18" s="343" t="s">
        <v>103</v>
      </c>
      <c r="C18" s="344"/>
      <c r="D18" s="128">
        <f>D11</f>
        <v>3391602579.7093282</v>
      </c>
    </row>
    <row r="19" spans="2:6" ht="25.8">
      <c r="B19" s="347" t="s">
        <v>110</v>
      </c>
      <c r="C19" s="348"/>
      <c r="D19" s="349"/>
    </row>
    <row r="20" spans="2:6" ht="19.8" thickBot="1">
      <c r="B20" s="350">
        <f>(파라미터!U22*'아이템(가격)'!N23+파라미터!U23*'아이템(가격)'!O23)</f>
        <v>91632743.667826995</v>
      </c>
      <c r="C20" s="351"/>
      <c r="D20" s="352"/>
    </row>
    <row r="33" spans="4:4">
      <c r="D33" s="21">
        <f>0.7 * 파라미터!$R$21 * 파라미터!$R$22 *  파라미터!$R$23 * 수리!$D$43 +  수리!$D$43 * 파라미터!$R$24</f>
        <v>3358851931.2414622</v>
      </c>
    </row>
    <row r="34" spans="4:4">
      <c r="D34" s="21" t="e">
        <f>#REF!/180 +#REF! +  0.03 *'아이템(가격)'!$C$44</f>
        <v>#REF!</v>
      </c>
    </row>
    <row r="35" spans="4:4">
      <c r="D35" s="21">
        <f>'아이템(가격)'!$C$44</f>
        <v>11493109294.510641</v>
      </c>
    </row>
    <row r="36" spans="4:4">
      <c r="D36" s="21" t="e">
        <f xml:space="preserve"> 2000000000 + D33 - D34</f>
        <v>#REF!</v>
      </c>
    </row>
    <row r="37" spans="4:4">
      <c r="D37" s="21">
        <f xml:space="preserve"> -(D35 * 파라미터!$V$21)/100</f>
        <v>-241355295.18472347</v>
      </c>
    </row>
    <row r="38" spans="4:4">
      <c r="D38" s="21" t="e">
        <f xml:space="preserve"> (D36 * 파라미터!$V$24)/100</f>
        <v>#REF!</v>
      </c>
    </row>
    <row r="39" spans="4:4">
      <c r="D39" s="21">
        <f xml:space="preserve"> D35 + D37 * D42</f>
        <v>3400268463.6429815</v>
      </c>
    </row>
    <row r="40" spans="4:4">
      <c r="D40" s="21" t="e">
        <f xml:space="preserve"> D36 + D38 * D43</f>
        <v>#REF!</v>
      </c>
    </row>
    <row r="41" spans="4:4">
      <c r="D41" s="21" t="e">
        <f xml:space="preserve"> D39 - D40</f>
        <v>#REF!</v>
      </c>
    </row>
    <row r="42" spans="4:4">
      <c r="D42" s="21">
        <v>33.530819469586241</v>
      </c>
    </row>
    <row r="43" spans="4:4">
      <c r="D43" s="21">
        <v>1.8754894988701671</v>
      </c>
    </row>
    <row r="44" spans="4:4">
      <c r="D44" s="21">
        <f xml:space="preserve"> (D42 + D43)/100</f>
        <v>0.35406308968456407</v>
      </c>
    </row>
    <row r="45" spans="4:4">
      <c r="D45" s="21">
        <f xml:space="preserve"> 파라미터!$V$25*(1+D44)</f>
        <v>13540.63089684564</v>
      </c>
    </row>
    <row r="46" spans="4:4">
      <c r="D46" s="21">
        <f xml:space="preserve"> D39</f>
        <v>3400268463.6429815</v>
      </c>
    </row>
  </sheetData>
  <mergeCells count="19">
    <mergeCell ref="B19:D19"/>
    <mergeCell ref="B20:D20"/>
    <mergeCell ref="B8:C8"/>
    <mergeCell ref="B18:C18"/>
    <mergeCell ref="B16:D16"/>
    <mergeCell ref="B9:D9"/>
    <mergeCell ref="B17:C17"/>
    <mergeCell ref="B2:D2"/>
    <mergeCell ref="B12:C12"/>
    <mergeCell ref="B13:C13"/>
    <mergeCell ref="B14:C14"/>
    <mergeCell ref="B15:C15"/>
    <mergeCell ref="B3:C3"/>
    <mergeCell ref="B4:C4"/>
    <mergeCell ref="B5:C5"/>
    <mergeCell ref="B6:C6"/>
    <mergeCell ref="B10:C10"/>
    <mergeCell ref="B11:C11"/>
    <mergeCell ref="B7:C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파라미터</vt:lpstr>
      <vt:lpstr>강화</vt:lpstr>
      <vt:lpstr>수리</vt:lpstr>
      <vt:lpstr>아이템(공급)</vt:lpstr>
      <vt:lpstr>아이템(수요)</vt:lpstr>
      <vt:lpstr>아이템(가격)</vt:lpstr>
      <vt:lpstr>골드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2020-12-28T04:03:05Z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69cb70fe-2891-49e2-9f1b-e4ae8d7cf7b6</vt:lpwstr>
  </property>
</Properties>
</file>